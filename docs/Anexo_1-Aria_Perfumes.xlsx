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m\Desktop\JUAN_MANUEL\UDEA\Doce Semestre\Form. de Proyectos de Inversión\Entrega III\"/>
    </mc:Choice>
  </mc:AlternateContent>
  <xr:revisionPtr revIDLastSave="0" documentId="13_ncr:1_{DC3FA634-CF5B-472A-B6A3-EB971637B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LIZACIÓN" sheetId="2" r:id="rId1"/>
    <sheet name="PROYECCIONES Y ESTIMACIONES" sheetId="1" r:id="rId2"/>
    <sheet name="CALCULO COSTOS E INVERSIONES" sheetId="3" r:id="rId3"/>
    <sheet name="GASTOS ADMINISTRATIVOS" sheetId="4" r:id="rId4"/>
    <sheet name="ESTUDIO FINANCIERO" sheetId="6" r:id="rId5"/>
    <sheet name="ANÁLISIS-SENSIBILIDAD" sheetId="14" r:id="rId6"/>
    <sheet name="ESTUDIO FINANCIERO (2)" sheetId="10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0" l="1"/>
  <c r="K23" i="10"/>
  <c r="K24" i="10"/>
  <c r="K20" i="10"/>
  <c r="C54" i="10"/>
  <c r="G152" i="10"/>
  <c r="F152" i="10"/>
  <c r="E152" i="10"/>
  <c r="D152" i="10"/>
  <c r="C152" i="10"/>
  <c r="H150" i="10"/>
  <c r="G150" i="10"/>
  <c r="F150" i="10"/>
  <c r="E150" i="10"/>
  <c r="D150" i="10"/>
  <c r="C140" i="10"/>
  <c r="C144" i="10" s="1"/>
  <c r="C156" i="10" s="1"/>
  <c r="F125" i="10"/>
  <c r="C111" i="10"/>
  <c r="C150" i="10" s="1"/>
  <c r="H110" i="10"/>
  <c r="H149" i="10" s="1"/>
  <c r="G110" i="10"/>
  <c r="G149" i="10" s="1"/>
  <c r="F110" i="10"/>
  <c r="F149" i="10" s="1"/>
  <c r="E110" i="10"/>
  <c r="E149" i="10" s="1"/>
  <c r="D110" i="10"/>
  <c r="D149" i="10" s="1"/>
  <c r="C102" i="10"/>
  <c r="C105" i="10" s="1"/>
  <c r="D88" i="10"/>
  <c r="D89" i="10" s="1"/>
  <c r="D90" i="10" s="1"/>
  <c r="D91" i="10" s="1"/>
  <c r="D92" i="10" s="1"/>
  <c r="C88" i="10"/>
  <c r="D104" i="10" s="1"/>
  <c r="C81" i="10"/>
  <c r="C63" i="10"/>
  <c r="E63" i="10" s="1"/>
  <c r="C62" i="10"/>
  <c r="E62" i="10" s="1"/>
  <c r="G62" i="10" s="1"/>
  <c r="H57" i="10"/>
  <c r="H101" i="10" s="1"/>
  <c r="H139" i="10" s="1"/>
  <c r="G57" i="10"/>
  <c r="G101" i="10" s="1"/>
  <c r="G139" i="10" s="1"/>
  <c r="F57" i="10"/>
  <c r="F101" i="10" s="1"/>
  <c r="F139" i="10" s="1"/>
  <c r="E57" i="10"/>
  <c r="E101" i="10" s="1"/>
  <c r="E139" i="10" s="1"/>
  <c r="D57" i="10"/>
  <c r="D101" i="10" s="1"/>
  <c r="D139" i="10" s="1"/>
  <c r="H56" i="10"/>
  <c r="H100" i="10" s="1"/>
  <c r="H138" i="10" s="1"/>
  <c r="G56" i="10"/>
  <c r="G100" i="10" s="1"/>
  <c r="G138" i="10" s="1"/>
  <c r="F56" i="10"/>
  <c r="F100" i="10" s="1"/>
  <c r="F138" i="10" s="1"/>
  <c r="E56" i="10"/>
  <c r="E100" i="10" s="1"/>
  <c r="E138" i="10" s="1"/>
  <c r="D56" i="10"/>
  <c r="H55" i="10"/>
  <c r="H99" i="10" s="1"/>
  <c r="H137" i="10" s="1"/>
  <c r="G55" i="10"/>
  <c r="G99" i="10" s="1"/>
  <c r="G137" i="10" s="1"/>
  <c r="F55" i="10"/>
  <c r="F99" i="10" s="1"/>
  <c r="F137" i="10" s="1"/>
  <c r="E55" i="10"/>
  <c r="E99" i="10" s="1"/>
  <c r="E137" i="10" s="1"/>
  <c r="D55" i="10"/>
  <c r="D99" i="10" s="1"/>
  <c r="D137" i="10" s="1"/>
  <c r="C42" i="10"/>
  <c r="D41" i="10"/>
  <c r="C40" i="10"/>
  <c r="D39" i="10"/>
  <c r="E39" i="10" s="1"/>
  <c r="F39" i="10" s="1"/>
  <c r="G39" i="10" s="1"/>
  <c r="H39" i="10" s="1"/>
  <c r="C38" i="10"/>
  <c r="D37" i="10"/>
  <c r="E37" i="10" s="1"/>
  <c r="C36" i="10"/>
  <c r="D35" i="10"/>
  <c r="E35" i="10" s="1"/>
  <c r="D34" i="10"/>
  <c r="E34" i="10" s="1"/>
  <c r="F34" i="10" s="1"/>
  <c r="G34" i="10" s="1"/>
  <c r="H34" i="10" s="1"/>
  <c r="C28" i="10"/>
  <c r="C110" i="10" s="1"/>
  <c r="C149" i="10" s="1"/>
  <c r="H27" i="10"/>
  <c r="H109" i="10" s="1"/>
  <c r="H148" i="10" s="1"/>
  <c r="G27" i="10"/>
  <c r="G109" i="10" s="1"/>
  <c r="G148" i="10" s="1"/>
  <c r="F27" i="10"/>
  <c r="F109" i="10" s="1"/>
  <c r="F148" i="10" s="1"/>
  <c r="E27" i="10"/>
  <c r="E109" i="10" s="1"/>
  <c r="E148" i="10" s="1"/>
  <c r="D27" i="10"/>
  <c r="D109" i="10" s="1"/>
  <c r="D148" i="10" s="1"/>
  <c r="C27" i="10"/>
  <c r="C109" i="10" s="1"/>
  <c r="C148" i="10" s="1"/>
  <c r="D26" i="10"/>
  <c r="E26" i="10" s="1"/>
  <c r="F26" i="10" s="1"/>
  <c r="G26" i="10" s="1"/>
  <c r="H26" i="10" s="1"/>
  <c r="D20" i="10"/>
  <c r="E19" i="10"/>
  <c r="H18" i="10"/>
  <c r="H20" i="10" s="1"/>
  <c r="G18" i="10"/>
  <c r="G20" i="10" s="1"/>
  <c r="F18" i="10"/>
  <c r="F20" i="10" s="1"/>
  <c r="E18" i="10"/>
  <c r="D17" i="10"/>
  <c r="E17" i="10" s="1"/>
  <c r="F17" i="10" s="1"/>
  <c r="G17" i="10" s="1"/>
  <c r="H17" i="10" s="1"/>
  <c r="C16" i="10"/>
  <c r="C12" i="10"/>
  <c r="C11" i="10"/>
  <c r="C10" i="10"/>
  <c r="C9" i="10"/>
  <c r="C8" i="10"/>
  <c r="D21" i="10" s="1"/>
  <c r="E21" i="10" s="1"/>
  <c r="F21" i="10" s="1"/>
  <c r="G21" i="10" s="1"/>
  <c r="H21" i="10" s="1"/>
  <c r="D38" i="10" l="1"/>
  <c r="G88" i="10"/>
  <c r="G89" i="10" s="1"/>
  <c r="G90" i="10" s="1"/>
  <c r="G91" i="10" s="1"/>
  <c r="G92" i="10" s="1"/>
  <c r="E20" i="10"/>
  <c r="E22" i="10" s="1"/>
  <c r="E40" i="10" s="1"/>
  <c r="C43" i="10"/>
  <c r="C30" i="10" s="1"/>
  <c r="C112" i="10" s="1"/>
  <c r="C151" i="10" s="1"/>
  <c r="D42" i="10"/>
  <c r="D36" i="10"/>
  <c r="C89" i="10"/>
  <c r="C90" i="10" s="1"/>
  <c r="C91" i="10" s="1"/>
  <c r="C92" i="10" s="1"/>
  <c r="D100" i="10"/>
  <c r="D138" i="10" s="1"/>
  <c r="D54" i="10"/>
  <c r="E54" i="10" s="1"/>
  <c r="F54" i="10" s="1"/>
  <c r="G54" i="10" s="1"/>
  <c r="H54" i="10" s="1"/>
  <c r="D103" i="10"/>
  <c r="E103" i="10" s="1"/>
  <c r="E141" i="10" s="1"/>
  <c r="E146" i="10" s="1"/>
  <c r="F22" i="10"/>
  <c r="F40" i="10" s="1"/>
  <c r="G22" i="10"/>
  <c r="G40" i="10" s="1"/>
  <c r="D22" i="10"/>
  <c r="D98" i="10" s="1"/>
  <c r="H22" i="10"/>
  <c r="H98" i="10" s="1"/>
  <c r="F103" i="10"/>
  <c r="E36" i="10"/>
  <c r="F35" i="10"/>
  <c r="F37" i="10"/>
  <c r="G37" i="10" s="1"/>
  <c r="H37" i="10" s="1"/>
  <c r="H38" i="10" s="1"/>
  <c r="E38" i="10"/>
  <c r="D142" i="10"/>
  <c r="D147" i="10" s="1"/>
  <c r="E104" i="10"/>
  <c r="D108" i="10"/>
  <c r="B8" i="10"/>
  <c r="B9" i="10" s="1"/>
  <c r="B10" i="10" s="1"/>
  <c r="B11" i="10" s="1"/>
  <c r="B12" i="10" s="1"/>
  <c r="D107" i="10"/>
  <c r="D141" i="10"/>
  <c r="D146" i="10" s="1"/>
  <c r="E41" i="10"/>
  <c r="G63" i="10"/>
  <c r="G64" i="10" s="1"/>
  <c r="C58" i="10" s="1"/>
  <c r="H114" i="10" s="1"/>
  <c r="H155" i="10" s="1"/>
  <c r="C126" i="10"/>
  <c r="D126" i="10"/>
  <c r="D143" i="10" s="1"/>
  <c r="E98" i="10" l="1"/>
  <c r="E136" i="10" s="1"/>
  <c r="E140" i="10" s="1"/>
  <c r="F98" i="10"/>
  <c r="F102" i="10" s="1"/>
  <c r="E107" i="10"/>
  <c r="F38" i="10"/>
  <c r="D40" i="10"/>
  <c r="D43" i="10" s="1"/>
  <c r="D44" i="10" s="1"/>
  <c r="D30" i="10" s="1"/>
  <c r="D31" i="10" s="1"/>
  <c r="C31" i="10"/>
  <c r="C80" i="10" s="1"/>
  <c r="C82" i="10" s="1"/>
  <c r="C115" i="10"/>
  <c r="G98" i="10"/>
  <c r="G102" i="10" s="1"/>
  <c r="H40" i="10"/>
  <c r="F141" i="10"/>
  <c r="F146" i="10" s="1"/>
  <c r="F107" i="10"/>
  <c r="G103" i="10"/>
  <c r="D136" i="10"/>
  <c r="D102" i="10"/>
  <c r="D105" i="10" s="1"/>
  <c r="F36" i="10"/>
  <c r="G35" i="10"/>
  <c r="E126" i="10"/>
  <c r="C127" i="10"/>
  <c r="E42" i="10"/>
  <c r="E43" i="10" s="1"/>
  <c r="F41" i="10"/>
  <c r="H102" i="10"/>
  <c r="H136" i="10"/>
  <c r="H140" i="10" s="1"/>
  <c r="G38" i="10"/>
  <c r="F104" i="10"/>
  <c r="E142" i="10"/>
  <c r="E147" i="10" s="1"/>
  <c r="E108" i="10"/>
  <c r="E19" i="6"/>
  <c r="D21" i="6"/>
  <c r="C36" i="6"/>
  <c r="D140" i="10" l="1"/>
  <c r="D144" i="10" s="1"/>
  <c r="E102" i="10"/>
  <c r="E105" i="10" s="1"/>
  <c r="F136" i="10"/>
  <c r="F140" i="10" s="1"/>
  <c r="E44" i="10"/>
  <c r="E30" i="10" s="1"/>
  <c r="E112" i="10" s="1"/>
  <c r="E115" i="10" s="1"/>
  <c r="E116" i="10" s="1"/>
  <c r="D112" i="10"/>
  <c r="D151" i="10" s="1"/>
  <c r="G136" i="10"/>
  <c r="G140" i="10" s="1"/>
  <c r="D115" i="10"/>
  <c r="D116" i="10" s="1"/>
  <c r="D117" i="10" s="1"/>
  <c r="F105" i="10"/>
  <c r="F106" i="10" s="1"/>
  <c r="D154" i="10"/>
  <c r="F126" i="10"/>
  <c r="G141" i="10"/>
  <c r="G146" i="10" s="1"/>
  <c r="G107" i="10"/>
  <c r="H103" i="10"/>
  <c r="G36" i="10"/>
  <c r="H35" i="10"/>
  <c r="H36" i="10" s="1"/>
  <c r="F142" i="10"/>
  <c r="F147" i="10" s="1"/>
  <c r="F108" i="10"/>
  <c r="G104" i="10"/>
  <c r="C128" i="10"/>
  <c r="G41" i="10"/>
  <c r="F42" i="10"/>
  <c r="F43" i="10" s="1"/>
  <c r="F44" i="10" s="1"/>
  <c r="F30" i="10" s="1"/>
  <c r="C40" i="6"/>
  <c r="D156" i="10" l="1"/>
  <c r="E31" i="10"/>
  <c r="E117" i="10"/>
  <c r="F31" i="10"/>
  <c r="F112" i="10"/>
  <c r="F151" i="10" s="1"/>
  <c r="H104" i="10"/>
  <c r="G142" i="10"/>
  <c r="G108" i="10"/>
  <c r="G105" i="10"/>
  <c r="H41" i="10"/>
  <c r="H42" i="10" s="1"/>
  <c r="H43" i="10" s="1"/>
  <c r="G42" i="10"/>
  <c r="G43" i="10" s="1"/>
  <c r="G44" i="10" s="1"/>
  <c r="G30" i="10" s="1"/>
  <c r="D127" i="10"/>
  <c r="C129" i="10"/>
  <c r="H141" i="10"/>
  <c r="H107" i="10"/>
  <c r="H105" i="10"/>
  <c r="E151" i="10"/>
  <c r="D39" i="6"/>
  <c r="E39" i="6" s="1"/>
  <c r="F39" i="6" s="1"/>
  <c r="G39" i="6" s="1"/>
  <c r="H39" i="6" s="1"/>
  <c r="E55" i="6"/>
  <c r="D55" i="6"/>
  <c r="C27" i="6"/>
  <c r="G47" i="3"/>
  <c r="G37" i="3"/>
  <c r="G38" i="3"/>
  <c r="G39" i="3"/>
  <c r="G40" i="3"/>
  <c r="G41" i="3"/>
  <c r="G42" i="3"/>
  <c r="G43" i="3"/>
  <c r="G44" i="3"/>
  <c r="F49" i="3"/>
  <c r="D20" i="6"/>
  <c r="H37" i="3"/>
  <c r="F55" i="6"/>
  <c r="G55" i="6"/>
  <c r="H55" i="6"/>
  <c r="J37" i="3"/>
  <c r="J38" i="3"/>
  <c r="J39" i="3"/>
  <c r="J40" i="3"/>
  <c r="J41" i="3"/>
  <c r="J42" i="3"/>
  <c r="J43" i="3"/>
  <c r="J44" i="3"/>
  <c r="J47" i="3"/>
  <c r="M37" i="3"/>
  <c r="D45" i="3"/>
  <c r="D47" i="3"/>
  <c r="F38" i="3"/>
  <c r="F37" i="3"/>
  <c r="D157" i="10" l="1"/>
  <c r="D158" i="10" s="1"/>
  <c r="F115" i="10"/>
  <c r="F116" i="10" s="1"/>
  <c r="F117" i="10" s="1"/>
  <c r="H44" i="10"/>
  <c r="H30" i="10" s="1"/>
  <c r="H112" i="10" s="1"/>
  <c r="H151" i="10" s="1"/>
  <c r="G147" i="10"/>
  <c r="G112" i="10"/>
  <c r="G31" i="10"/>
  <c r="H142" i="10"/>
  <c r="H147" i="10" s="1"/>
  <c r="H108" i="10"/>
  <c r="H146" i="10"/>
  <c r="E143" i="10"/>
  <c r="E144" i="10" s="1"/>
  <c r="E156" i="10" s="1"/>
  <c r="E127" i="10"/>
  <c r="G106" i="10"/>
  <c r="C130" i="10"/>
  <c r="H106" i="10"/>
  <c r="R16" i="1"/>
  <c r="R21" i="1"/>
  <c r="R18" i="1"/>
  <c r="D35" i="6"/>
  <c r="E35" i="6" s="1"/>
  <c r="F35" i="6" s="1"/>
  <c r="G35" i="6" s="1"/>
  <c r="H35" i="6" s="1"/>
  <c r="D41" i="6"/>
  <c r="E41" i="6" s="1"/>
  <c r="F41" i="6" s="1"/>
  <c r="G41" i="6" s="1"/>
  <c r="H41" i="6" s="1"/>
  <c r="D26" i="6"/>
  <c r="E26" i="6" s="1"/>
  <c r="F26" i="6" s="1"/>
  <c r="G26" i="6" s="1"/>
  <c r="H26" i="6" s="1"/>
  <c r="K15" i="6"/>
  <c r="K13" i="6"/>
  <c r="K12" i="6"/>
  <c r="L16" i="6"/>
  <c r="C81" i="6"/>
  <c r="H31" i="10" l="1"/>
  <c r="G115" i="10"/>
  <c r="G116" i="10" s="1"/>
  <c r="G117" i="10" s="1"/>
  <c r="E154" i="10"/>
  <c r="F127" i="10"/>
  <c r="G151" i="10"/>
  <c r="H113" i="10"/>
  <c r="H152" i="10" s="1"/>
  <c r="D42" i="6"/>
  <c r="D152" i="6"/>
  <c r="E152" i="6"/>
  <c r="F152" i="6"/>
  <c r="G152" i="6"/>
  <c r="C152" i="6"/>
  <c r="D150" i="6"/>
  <c r="E150" i="6"/>
  <c r="F150" i="6"/>
  <c r="G150" i="6"/>
  <c r="H150" i="6"/>
  <c r="D110" i="6"/>
  <c r="D149" i="6" s="1"/>
  <c r="E110" i="6"/>
  <c r="E149" i="6" s="1"/>
  <c r="F110" i="6"/>
  <c r="F149" i="6" s="1"/>
  <c r="G110" i="6"/>
  <c r="G149" i="6" s="1"/>
  <c r="H110" i="6"/>
  <c r="H149" i="6" s="1"/>
  <c r="C63" i="6"/>
  <c r="E63" i="6" s="1"/>
  <c r="G63" i="6" s="1"/>
  <c r="G64" i="6" s="1"/>
  <c r="D88" i="6"/>
  <c r="C62" i="6"/>
  <c r="E62" i="6" s="1"/>
  <c r="C88" i="6"/>
  <c r="C89" i="6" s="1"/>
  <c r="D37" i="6"/>
  <c r="E37" i="6" s="1"/>
  <c r="F37" i="6" s="1"/>
  <c r="G37" i="6" s="1"/>
  <c r="H37" i="6" s="1"/>
  <c r="C42" i="6"/>
  <c r="C38" i="6"/>
  <c r="E157" i="10" l="1"/>
  <c r="E158" i="10" s="1"/>
  <c r="D128" i="10"/>
  <c r="H115" i="10"/>
  <c r="D104" i="6"/>
  <c r="C58" i="6"/>
  <c r="H114" i="6" s="1"/>
  <c r="H155" i="6" s="1"/>
  <c r="G62" i="6"/>
  <c r="C43" i="6"/>
  <c r="C30" i="6" s="1"/>
  <c r="C112" i="6" s="1"/>
  <c r="F143" i="10" l="1"/>
  <c r="F144" i="10" s="1"/>
  <c r="E128" i="10"/>
  <c r="H116" i="10"/>
  <c r="H117" i="10" s="1"/>
  <c r="C119" i="10"/>
  <c r="C118" i="10"/>
  <c r="C111" i="6"/>
  <c r="D34" i="6"/>
  <c r="E34" i="6" s="1"/>
  <c r="F34" i="6" s="1"/>
  <c r="G34" i="6" s="1"/>
  <c r="H34" i="6" s="1"/>
  <c r="D89" i="6"/>
  <c r="D90" i="6" s="1"/>
  <c r="D91" i="6" s="1"/>
  <c r="D92" i="6" s="1"/>
  <c r="C140" i="6"/>
  <c r="C144" i="6" s="1"/>
  <c r="C102" i="6"/>
  <c r="C105" i="6" s="1"/>
  <c r="F154" i="10" l="1"/>
  <c r="F128" i="10"/>
  <c r="F145" i="10"/>
  <c r="F156" i="10" s="1"/>
  <c r="F6" i="4"/>
  <c r="F13" i="4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9" i="3"/>
  <c r="F29" i="3"/>
  <c r="G29" i="3" s="1"/>
  <c r="R17" i="1"/>
  <c r="Q8" i="1"/>
  <c r="H3" i="4" s="1"/>
  <c r="H6" i="4" s="1"/>
  <c r="C150" i="6"/>
  <c r="C151" i="6"/>
  <c r="F157" i="10" l="1"/>
  <c r="F158" i="10" s="1"/>
  <c r="D129" i="10"/>
  <c r="Q9" i="1"/>
  <c r="J3" i="4" s="1"/>
  <c r="C16" i="6"/>
  <c r="D13" i="4"/>
  <c r="P22" i="1"/>
  <c r="M8" i="1"/>
  <c r="G3" i="3" s="1"/>
  <c r="G13" i="4"/>
  <c r="G24" i="3"/>
  <c r="G28" i="3"/>
  <c r="G27" i="3"/>
  <c r="G26" i="3"/>
  <c r="G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143" i="10" l="1"/>
  <c r="G144" i="10" s="1"/>
  <c r="E129" i="10"/>
  <c r="O20" i="1"/>
  <c r="P20" i="1" s="1"/>
  <c r="O16" i="1"/>
  <c r="P16" i="1" s="1"/>
  <c r="G31" i="3"/>
  <c r="C28" i="6"/>
  <c r="G63" i="3"/>
  <c r="G64" i="3"/>
  <c r="Q10" i="1"/>
  <c r="Q11" i="1" s="1"/>
  <c r="N3" i="4" s="1"/>
  <c r="I9" i="3"/>
  <c r="H47" i="3"/>
  <c r="C8" i="6"/>
  <c r="O18" i="1"/>
  <c r="P18" i="1" s="1"/>
  <c r="I12" i="3"/>
  <c r="I20" i="3"/>
  <c r="H41" i="3"/>
  <c r="H45" i="3"/>
  <c r="I13" i="3"/>
  <c r="I17" i="3"/>
  <c r="I21" i="3"/>
  <c r="H38" i="3"/>
  <c r="H42" i="3"/>
  <c r="H46" i="3"/>
  <c r="I10" i="3"/>
  <c r="I14" i="3"/>
  <c r="I18" i="3"/>
  <c r="I22" i="3"/>
  <c r="H39" i="3"/>
  <c r="H43" i="3"/>
  <c r="I11" i="3"/>
  <c r="I15" i="3"/>
  <c r="I19" i="3"/>
  <c r="I23" i="3"/>
  <c r="H40" i="3"/>
  <c r="H44" i="3"/>
  <c r="I16" i="3"/>
  <c r="M9" i="1"/>
  <c r="C9" i="6" s="1"/>
  <c r="G154" i="10" l="1"/>
  <c r="F129" i="10"/>
  <c r="G145" i="10"/>
  <c r="E62" i="3"/>
  <c r="F62" i="3" s="1"/>
  <c r="G62" i="3" s="1"/>
  <c r="C109" i="6"/>
  <c r="C148" i="6" s="1"/>
  <c r="C31" i="6"/>
  <c r="C80" i="6" s="1"/>
  <c r="C82" i="6" s="1"/>
  <c r="G88" i="6"/>
  <c r="G89" i="6" s="1"/>
  <c r="G90" i="6" s="1"/>
  <c r="G91" i="6" s="1"/>
  <c r="G92" i="6" s="1"/>
  <c r="C110" i="6"/>
  <c r="C90" i="6"/>
  <c r="C91" i="6" s="1"/>
  <c r="C92" i="6" s="1"/>
  <c r="L3" i="4"/>
  <c r="Q12" i="1"/>
  <c r="P3" i="4" s="1"/>
  <c r="H8" i="4"/>
  <c r="H12" i="4"/>
  <c r="H9" i="4"/>
  <c r="H10" i="4"/>
  <c r="H7" i="4"/>
  <c r="H11" i="4"/>
  <c r="M10" i="1"/>
  <c r="J3" i="3"/>
  <c r="G156" i="10" l="1"/>
  <c r="G157" i="10" s="1"/>
  <c r="G158" i="10" s="1"/>
  <c r="D130" i="10"/>
  <c r="E21" i="6"/>
  <c r="E37" i="3"/>
  <c r="C54" i="6"/>
  <c r="D103" i="6"/>
  <c r="D141" i="6" s="1"/>
  <c r="D146" i="6" s="1"/>
  <c r="F125" i="6"/>
  <c r="C126" i="6" s="1"/>
  <c r="D142" i="6"/>
  <c r="D147" i="6" s="1"/>
  <c r="E104" i="6"/>
  <c r="D108" i="6"/>
  <c r="C115" i="6"/>
  <c r="C149" i="6"/>
  <c r="C156" i="6" s="1"/>
  <c r="J64" i="3"/>
  <c r="K48" i="3"/>
  <c r="J63" i="3"/>
  <c r="C10" i="6"/>
  <c r="K41" i="3"/>
  <c r="L9" i="3"/>
  <c r="L21" i="3"/>
  <c r="K40" i="3"/>
  <c r="L23" i="3"/>
  <c r="K43" i="3"/>
  <c r="K42" i="3"/>
  <c r="L10" i="3"/>
  <c r="K39" i="3"/>
  <c r="K38" i="3"/>
  <c r="L13" i="3"/>
  <c r="L20" i="3"/>
  <c r="K45" i="3"/>
  <c r="L19" i="3"/>
  <c r="K47" i="3"/>
  <c r="L11" i="3"/>
  <c r="H13" i="4"/>
  <c r="L17" i="3"/>
  <c r="L15" i="3"/>
  <c r="L14" i="3"/>
  <c r="K37" i="3"/>
  <c r="L18" i="3"/>
  <c r="K46" i="3"/>
  <c r="K44" i="3"/>
  <c r="L16" i="3"/>
  <c r="L12" i="3"/>
  <c r="L22" i="3"/>
  <c r="M11" i="1"/>
  <c r="M3" i="3"/>
  <c r="E11" i="1"/>
  <c r="F12" i="4"/>
  <c r="H143" i="10" l="1"/>
  <c r="H144" i="10" s="1"/>
  <c r="E130" i="10"/>
  <c r="D54" i="6"/>
  <c r="E54" i="6" s="1"/>
  <c r="F54" i="6" s="1"/>
  <c r="D22" i="6"/>
  <c r="D57" i="6"/>
  <c r="D101" i="6" s="1"/>
  <c r="D139" i="6" s="1"/>
  <c r="G68" i="3"/>
  <c r="F21" i="6"/>
  <c r="E103" i="6"/>
  <c r="E141" i="6" s="1"/>
  <c r="E146" i="6" s="1"/>
  <c r="D107" i="6"/>
  <c r="D126" i="6"/>
  <c r="D143" i="6" s="1"/>
  <c r="E108" i="6"/>
  <c r="F104" i="6"/>
  <c r="E142" i="6"/>
  <c r="E147" i="6" s="1"/>
  <c r="E107" i="6"/>
  <c r="N48" i="3"/>
  <c r="C11" i="6"/>
  <c r="N47" i="3"/>
  <c r="O13" i="3"/>
  <c r="N38" i="3"/>
  <c r="N37" i="3"/>
  <c r="N44" i="3"/>
  <c r="O21" i="3"/>
  <c r="O15" i="3"/>
  <c r="O22" i="3"/>
  <c r="O16" i="3"/>
  <c r="M63" i="3"/>
  <c r="O12" i="3"/>
  <c r="O17" i="3"/>
  <c r="O23" i="3"/>
  <c r="N45" i="3"/>
  <c r="O9" i="3"/>
  <c r="O10" i="3"/>
  <c r="N46" i="3"/>
  <c r="O14" i="3"/>
  <c r="N41" i="3"/>
  <c r="N42" i="3"/>
  <c r="N39" i="3"/>
  <c r="N40" i="3"/>
  <c r="O18" i="3"/>
  <c r="O11" i="3"/>
  <c r="O19" i="3"/>
  <c r="O20" i="3"/>
  <c r="N43" i="3"/>
  <c r="M64" i="3"/>
  <c r="P3" i="3"/>
  <c r="R16" i="3" s="1"/>
  <c r="M12" i="1"/>
  <c r="C12" i="6" s="1"/>
  <c r="D32" i="1"/>
  <c r="D40" i="1"/>
  <c r="F45" i="3" s="1"/>
  <c r="F55" i="3"/>
  <c r="G55" i="3" s="1"/>
  <c r="D42" i="1"/>
  <c r="E42" i="1" s="1"/>
  <c r="L47" i="3" s="1"/>
  <c r="D33" i="1"/>
  <c r="D38" i="3" s="1"/>
  <c r="E31" i="1"/>
  <c r="K23" i="3" s="1"/>
  <c r="N23" i="3" s="1"/>
  <c r="F31" i="1"/>
  <c r="G31" i="1"/>
  <c r="H31" i="1"/>
  <c r="E30" i="1"/>
  <c r="K22" i="3" s="1"/>
  <c r="N22" i="3" s="1"/>
  <c r="F30" i="1"/>
  <c r="G30" i="1"/>
  <c r="H30" i="1"/>
  <c r="E17" i="1"/>
  <c r="K9" i="3" s="1"/>
  <c r="N9" i="3" s="1"/>
  <c r="F17" i="1"/>
  <c r="G17" i="1"/>
  <c r="H17" i="1"/>
  <c r="E18" i="1"/>
  <c r="K10" i="3" s="1"/>
  <c r="F18" i="1"/>
  <c r="G18" i="1"/>
  <c r="H18" i="1"/>
  <c r="E19" i="1"/>
  <c r="K11" i="3" s="1"/>
  <c r="N11" i="3" s="1"/>
  <c r="F19" i="1"/>
  <c r="G19" i="1"/>
  <c r="H19" i="1"/>
  <c r="E20" i="1"/>
  <c r="K12" i="3" s="1"/>
  <c r="N12" i="3" s="1"/>
  <c r="F20" i="1"/>
  <c r="G20" i="1"/>
  <c r="H20" i="1"/>
  <c r="E21" i="1"/>
  <c r="K13" i="3" s="1"/>
  <c r="F21" i="1"/>
  <c r="G21" i="1"/>
  <c r="H21" i="1"/>
  <c r="E22" i="1"/>
  <c r="K14" i="3" s="1"/>
  <c r="N14" i="3" s="1"/>
  <c r="F22" i="1"/>
  <c r="G22" i="1"/>
  <c r="H22" i="1"/>
  <c r="E23" i="1"/>
  <c r="K15" i="3" s="1"/>
  <c r="N15" i="3" s="1"/>
  <c r="F23" i="1"/>
  <c r="G23" i="1"/>
  <c r="H23" i="1"/>
  <c r="E24" i="1"/>
  <c r="K16" i="3" s="1"/>
  <c r="N16" i="3" s="1"/>
  <c r="F24" i="1"/>
  <c r="G24" i="1"/>
  <c r="H24" i="1"/>
  <c r="E25" i="1"/>
  <c r="K17" i="3" s="1"/>
  <c r="F25" i="1"/>
  <c r="G25" i="1"/>
  <c r="H25" i="1"/>
  <c r="E26" i="1"/>
  <c r="K18" i="3" s="1"/>
  <c r="N18" i="3" s="1"/>
  <c r="F26" i="1"/>
  <c r="G26" i="1"/>
  <c r="H26" i="1"/>
  <c r="E27" i="1"/>
  <c r="K19" i="3" s="1"/>
  <c r="N19" i="3" s="1"/>
  <c r="F27" i="1"/>
  <c r="G27" i="1"/>
  <c r="H27" i="1"/>
  <c r="E28" i="1"/>
  <c r="K20" i="3" s="1"/>
  <c r="N20" i="3" s="1"/>
  <c r="F28" i="1"/>
  <c r="G28" i="1"/>
  <c r="H28" i="1"/>
  <c r="E29" i="1"/>
  <c r="K21" i="3" s="1"/>
  <c r="F29" i="1"/>
  <c r="G29" i="1"/>
  <c r="H29" i="1"/>
  <c r="F16" i="1"/>
  <c r="K12" i="4" s="1"/>
  <c r="L12" i="4" s="1"/>
  <c r="E16" i="1"/>
  <c r="I12" i="4" s="1"/>
  <c r="J12" i="4" s="1"/>
  <c r="J9" i="3"/>
  <c r="E4" i="1"/>
  <c r="D41" i="1"/>
  <c r="E41" i="1" s="1"/>
  <c r="J46" i="3" s="1"/>
  <c r="L46" i="3" s="1"/>
  <c r="E15" i="1"/>
  <c r="F61" i="3"/>
  <c r="G61" i="3" s="1"/>
  <c r="J61" i="3" s="1"/>
  <c r="M61" i="3" s="1"/>
  <c r="F59" i="3"/>
  <c r="F60" i="3"/>
  <c r="F56" i="3"/>
  <c r="F57" i="3"/>
  <c r="F58" i="3"/>
  <c r="J18" i="3"/>
  <c r="J19" i="3"/>
  <c r="J20" i="3"/>
  <c r="J21" i="3"/>
  <c r="J22" i="3"/>
  <c r="J23" i="3"/>
  <c r="J10" i="3"/>
  <c r="J11" i="3"/>
  <c r="J12" i="3"/>
  <c r="J13" i="3"/>
  <c r="J14" i="3"/>
  <c r="J15" i="3"/>
  <c r="J16" i="3"/>
  <c r="J17" i="3"/>
  <c r="E13" i="4"/>
  <c r="G16" i="1"/>
  <c r="M12" i="4" s="1"/>
  <c r="N12" i="4" s="1"/>
  <c r="H16" i="1"/>
  <c r="O12" i="4" s="1"/>
  <c r="F7" i="4"/>
  <c r="E12" i="1"/>
  <c r="F15" i="1"/>
  <c r="G15" i="1"/>
  <c r="H15" i="1"/>
  <c r="F11" i="1"/>
  <c r="G11" i="1"/>
  <c r="H11" i="1"/>
  <c r="F12" i="1"/>
  <c r="G12" i="1"/>
  <c r="H12" i="1"/>
  <c r="E13" i="1"/>
  <c r="F13" i="1"/>
  <c r="G13" i="1"/>
  <c r="H13" i="1"/>
  <c r="E14" i="1"/>
  <c r="F14" i="1"/>
  <c r="G14" i="1"/>
  <c r="H14" i="1"/>
  <c r="D39" i="1"/>
  <c r="H39" i="1" s="1"/>
  <c r="S44" i="3" s="1"/>
  <c r="D17" i="6"/>
  <c r="E17" i="6" s="1"/>
  <c r="F17" i="6" s="1"/>
  <c r="G17" i="6" s="1"/>
  <c r="H17" i="6" s="1"/>
  <c r="H154" i="10" l="1"/>
  <c r="F130" i="10"/>
  <c r="H145" i="10"/>
  <c r="H156" i="10" s="1"/>
  <c r="C159" i="10" s="1"/>
  <c r="D98" i="6"/>
  <c r="D40" i="6"/>
  <c r="D27" i="6"/>
  <c r="Q20" i="3"/>
  <c r="T20" i="3" s="1"/>
  <c r="Q19" i="3"/>
  <c r="T19" i="3" s="1"/>
  <c r="Q18" i="3"/>
  <c r="T18" i="3" s="1"/>
  <c r="Q16" i="3"/>
  <c r="T16" i="3" s="1"/>
  <c r="Q15" i="3"/>
  <c r="T15" i="3" s="1"/>
  <c r="Q14" i="3"/>
  <c r="T14" i="3" s="1"/>
  <c r="Q12" i="3"/>
  <c r="T12" i="3" s="1"/>
  <c r="Q11" i="3"/>
  <c r="T11" i="3" s="1"/>
  <c r="Q9" i="3"/>
  <c r="T9" i="3" s="1"/>
  <c r="Q22" i="3"/>
  <c r="T22" i="3" s="1"/>
  <c r="Q23" i="3"/>
  <c r="T23" i="3" s="1"/>
  <c r="N21" i="3"/>
  <c r="Q21" i="3" s="1"/>
  <c r="N17" i="3"/>
  <c r="Q17" i="3" s="1"/>
  <c r="N13" i="3"/>
  <c r="Q13" i="3" s="1"/>
  <c r="N10" i="3"/>
  <c r="Q10" i="3" s="1"/>
  <c r="T10" i="3" s="1"/>
  <c r="F103" i="6"/>
  <c r="F141" i="6" s="1"/>
  <c r="F146" i="6" s="1"/>
  <c r="E126" i="6"/>
  <c r="D154" i="6" s="1"/>
  <c r="C127" i="6"/>
  <c r="G21" i="6"/>
  <c r="G104" i="6"/>
  <c r="F108" i="6"/>
  <c r="F142" i="6"/>
  <c r="F147" i="6" s="1"/>
  <c r="D109" i="6"/>
  <c r="D148" i="6" s="1"/>
  <c r="Q48" i="3"/>
  <c r="J31" i="3"/>
  <c r="G58" i="3"/>
  <c r="J58" i="3" s="1"/>
  <c r="M58" i="3" s="1"/>
  <c r="P58" i="3" s="1"/>
  <c r="G57" i="3"/>
  <c r="J57" i="3" s="1"/>
  <c r="M57" i="3" s="1"/>
  <c r="P57" i="3" s="1"/>
  <c r="G60" i="3"/>
  <c r="J60" i="3" s="1"/>
  <c r="M60" i="3" s="1"/>
  <c r="P60" i="3" s="1"/>
  <c r="G56" i="3"/>
  <c r="J56" i="3" s="1"/>
  <c r="M56" i="3" s="1"/>
  <c r="P56" i="3" s="1"/>
  <c r="D136" i="6"/>
  <c r="G54" i="6"/>
  <c r="H54" i="6" s="1"/>
  <c r="H40" i="1"/>
  <c r="S45" i="3" s="1"/>
  <c r="J55" i="3"/>
  <c r="R22" i="3"/>
  <c r="G45" i="3"/>
  <c r="I45" i="3" s="1"/>
  <c r="Q39" i="3"/>
  <c r="Q46" i="3"/>
  <c r="I38" i="3"/>
  <c r="H32" i="1"/>
  <c r="S37" i="3" s="1"/>
  <c r="D37" i="3"/>
  <c r="R10" i="3"/>
  <c r="R17" i="3"/>
  <c r="R21" i="3"/>
  <c r="G59" i="3"/>
  <c r="J59" i="3" s="1"/>
  <c r="M59" i="3" s="1"/>
  <c r="P59" i="3" s="1"/>
  <c r="R20" i="3"/>
  <c r="R18" i="3"/>
  <c r="R15" i="3"/>
  <c r="R19" i="3"/>
  <c r="Q42" i="3"/>
  <c r="R9" i="3"/>
  <c r="Q47" i="3"/>
  <c r="Q37" i="3"/>
  <c r="R11" i="3"/>
  <c r="Q41" i="3"/>
  <c r="Q45" i="3"/>
  <c r="R12" i="3"/>
  <c r="Q38" i="3"/>
  <c r="Q44" i="3"/>
  <c r="Q43" i="3"/>
  <c r="Q40" i="3"/>
  <c r="R14" i="3"/>
  <c r="R23" i="3"/>
  <c r="R13" i="3"/>
  <c r="P61" i="3"/>
  <c r="P63" i="3"/>
  <c r="P12" i="4"/>
  <c r="S3" i="3"/>
  <c r="P64" i="3"/>
  <c r="G42" i="1"/>
  <c r="P47" i="3" s="1"/>
  <c r="G32" i="1"/>
  <c r="P37" i="3" s="1"/>
  <c r="E32" i="1"/>
  <c r="L37" i="3" s="1"/>
  <c r="F32" i="1"/>
  <c r="O37" i="3" s="1"/>
  <c r="P23" i="3"/>
  <c r="D34" i="1"/>
  <c r="D39" i="3" s="1"/>
  <c r="H42" i="1"/>
  <c r="S47" i="3" s="1"/>
  <c r="F42" i="1"/>
  <c r="M47" i="3" s="1"/>
  <c r="O47" i="3" s="1"/>
  <c r="D46" i="3"/>
  <c r="D44" i="3"/>
  <c r="M17" i="3"/>
  <c r="M21" i="3"/>
  <c r="M13" i="3"/>
  <c r="P19" i="3"/>
  <c r="P18" i="3"/>
  <c r="P16" i="3"/>
  <c r="P15" i="3"/>
  <c r="P14" i="3"/>
  <c r="P12" i="3"/>
  <c r="P11" i="3"/>
  <c r="P10" i="3"/>
  <c r="P17" i="3"/>
  <c r="M12" i="3"/>
  <c r="M16" i="3"/>
  <c r="M20" i="3"/>
  <c r="M23" i="3"/>
  <c r="P22" i="3"/>
  <c r="M22" i="3"/>
  <c r="M19" i="3"/>
  <c r="M15" i="3"/>
  <c r="M11" i="3"/>
  <c r="M18" i="3"/>
  <c r="M14" i="3"/>
  <c r="M10" i="3"/>
  <c r="H33" i="1"/>
  <c r="S38" i="3" s="1"/>
  <c r="H41" i="1"/>
  <c r="S46" i="3" s="1"/>
  <c r="M9" i="3"/>
  <c r="E27" i="6" s="1"/>
  <c r="G41" i="1"/>
  <c r="P46" i="3" s="1"/>
  <c r="G40" i="1"/>
  <c r="P45" i="3" s="1"/>
  <c r="G39" i="1"/>
  <c r="P44" i="3" s="1"/>
  <c r="G33" i="1"/>
  <c r="P38" i="3" s="1"/>
  <c r="F41" i="1"/>
  <c r="M46" i="3" s="1"/>
  <c r="O46" i="3" s="1"/>
  <c r="F40" i="1"/>
  <c r="M45" i="3" s="1"/>
  <c r="O45" i="3" s="1"/>
  <c r="F39" i="1"/>
  <c r="M44" i="3" s="1"/>
  <c r="O44" i="3" s="1"/>
  <c r="F33" i="1"/>
  <c r="M38" i="3" s="1"/>
  <c r="O38" i="3" s="1"/>
  <c r="E40" i="1"/>
  <c r="J45" i="3" s="1"/>
  <c r="L45" i="3" s="1"/>
  <c r="E39" i="1"/>
  <c r="L44" i="3" s="1"/>
  <c r="E33" i="1"/>
  <c r="L38" i="3" s="1"/>
  <c r="B8" i="6"/>
  <c r="B9" i="6" s="1"/>
  <c r="B10" i="6" s="1"/>
  <c r="B11" i="6" s="1"/>
  <c r="B12" i="6" s="1"/>
  <c r="F11" i="4"/>
  <c r="F10" i="4"/>
  <c r="F9" i="4"/>
  <c r="F8" i="4"/>
  <c r="K28" i="2"/>
  <c r="F28" i="2"/>
  <c r="K27" i="2"/>
  <c r="F27" i="2"/>
  <c r="K26" i="2"/>
  <c r="F26" i="2"/>
  <c r="H24" i="2"/>
  <c r="C24" i="2"/>
  <c r="K21" i="2"/>
  <c r="F21" i="2"/>
  <c r="B21" i="2"/>
  <c r="K20" i="2"/>
  <c r="F20" i="2"/>
  <c r="F22" i="2" s="1"/>
  <c r="G19" i="2" s="1"/>
  <c r="K19" i="2"/>
  <c r="K22" i="2" s="1"/>
  <c r="L21" i="2" s="1"/>
  <c r="I15" i="2" s="1"/>
  <c r="F19" i="2"/>
  <c r="H17" i="2"/>
  <c r="C17" i="2"/>
  <c r="F15" i="2"/>
  <c r="K12" i="2"/>
  <c r="J12" i="2"/>
  <c r="I12" i="2"/>
  <c r="H12" i="2"/>
  <c r="F10" i="2"/>
  <c r="B28" i="2" s="1"/>
  <c r="D10" i="2"/>
  <c r="D11" i="2" s="1"/>
  <c r="G9" i="2" s="1"/>
  <c r="F9" i="2"/>
  <c r="B27" i="2" s="1"/>
  <c r="D9" i="2"/>
  <c r="I8" i="2"/>
  <c r="F8" i="2"/>
  <c r="B26" i="2" s="1"/>
  <c r="D8" i="2"/>
  <c r="G8" i="2" s="1"/>
  <c r="I7" i="2"/>
  <c r="I6" i="2"/>
  <c r="C5" i="2"/>
  <c r="O11" i="4"/>
  <c r="M11" i="4"/>
  <c r="N11" i="4" s="1"/>
  <c r="K11" i="4"/>
  <c r="L11" i="4" s="1"/>
  <c r="I11" i="4"/>
  <c r="J11" i="4" s="1"/>
  <c r="O10" i="4"/>
  <c r="M10" i="4"/>
  <c r="N10" i="4" s="1"/>
  <c r="K10" i="4"/>
  <c r="L10" i="4" s="1"/>
  <c r="I10" i="4"/>
  <c r="J10" i="4" s="1"/>
  <c r="O9" i="4"/>
  <c r="M9" i="4"/>
  <c r="N9" i="4" s="1"/>
  <c r="K9" i="4"/>
  <c r="L9" i="4" s="1"/>
  <c r="I9" i="4"/>
  <c r="J9" i="4" s="1"/>
  <c r="O8" i="4"/>
  <c r="M8" i="4"/>
  <c r="N8" i="4" s="1"/>
  <c r="K8" i="4"/>
  <c r="L8" i="4" s="1"/>
  <c r="I8" i="4"/>
  <c r="J8" i="4" s="1"/>
  <c r="O7" i="4"/>
  <c r="M7" i="4"/>
  <c r="N7" i="4" s="1"/>
  <c r="K7" i="4"/>
  <c r="L7" i="4" s="1"/>
  <c r="I7" i="4"/>
  <c r="J7" i="4" s="1"/>
  <c r="O6" i="4"/>
  <c r="M6" i="4"/>
  <c r="N6" i="4" s="1"/>
  <c r="K6" i="4"/>
  <c r="L6" i="4" s="1"/>
  <c r="I6" i="4"/>
  <c r="J6" i="4" s="1"/>
  <c r="D5" i="1"/>
  <c r="D6" i="1" s="1"/>
  <c r="F66" i="3" s="1"/>
  <c r="H157" i="10" l="1"/>
  <c r="H158" i="10" s="1"/>
  <c r="C160" i="10"/>
  <c r="F107" i="6"/>
  <c r="G103" i="6"/>
  <c r="G141" i="6" s="1"/>
  <c r="G146" i="6" s="1"/>
  <c r="T13" i="3"/>
  <c r="T17" i="3"/>
  <c r="S20" i="3"/>
  <c r="T21" i="3"/>
  <c r="P13" i="3"/>
  <c r="H21" i="6"/>
  <c r="C128" i="6"/>
  <c r="F126" i="6"/>
  <c r="D127" i="6" s="1"/>
  <c r="E143" i="6" s="1"/>
  <c r="G108" i="6"/>
  <c r="H104" i="6"/>
  <c r="G142" i="6"/>
  <c r="G147" i="6" s="1"/>
  <c r="E109" i="6"/>
  <c r="E148" i="6" s="1"/>
  <c r="H103" i="6"/>
  <c r="G107" i="6"/>
  <c r="T48" i="3"/>
  <c r="M31" i="3"/>
  <c r="U10" i="3"/>
  <c r="R47" i="3"/>
  <c r="U23" i="3"/>
  <c r="T44" i="3"/>
  <c r="U44" i="3" s="1"/>
  <c r="T41" i="3"/>
  <c r="S61" i="3"/>
  <c r="U22" i="3"/>
  <c r="P6" i="4"/>
  <c r="P8" i="4"/>
  <c r="P10" i="4"/>
  <c r="P11" i="4"/>
  <c r="U20" i="3"/>
  <c r="P7" i="4"/>
  <c r="P9" i="4"/>
  <c r="F47" i="3"/>
  <c r="I47" i="3"/>
  <c r="F39" i="3"/>
  <c r="I39" i="3"/>
  <c r="U9" i="3"/>
  <c r="I37" i="3"/>
  <c r="I44" i="3"/>
  <c r="F44" i="3"/>
  <c r="M55" i="3"/>
  <c r="F46" i="3"/>
  <c r="G46" i="3"/>
  <c r="I46" i="3" s="1"/>
  <c r="U14" i="3"/>
  <c r="N13" i="4"/>
  <c r="T40" i="3"/>
  <c r="U12" i="3"/>
  <c r="T37" i="3"/>
  <c r="U37" i="3" s="1"/>
  <c r="T42" i="3"/>
  <c r="U21" i="3"/>
  <c r="T39" i="3"/>
  <c r="U13" i="3"/>
  <c r="T43" i="3"/>
  <c r="T45" i="3"/>
  <c r="U45" i="3" s="1"/>
  <c r="T47" i="3"/>
  <c r="U47" i="3" s="1"/>
  <c r="U19" i="3"/>
  <c r="U17" i="3"/>
  <c r="U18" i="3"/>
  <c r="T38" i="3"/>
  <c r="U38" i="3" s="1"/>
  <c r="U11" i="3"/>
  <c r="U15" i="3"/>
  <c r="T46" i="3"/>
  <c r="U46" i="3" s="1"/>
  <c r="U16" i="3"/>
  <c r="R44" i="3"/>
  <c r="S59" i="3"/>
  <c r="R38" i="3"/>
  <c r="S56" i="3"/>
  <c r="S60" i="3"/>
  <c r="S58" i="3"/>
  <c r="S64" i="3"/>
  <c r="S63" i="3"/>
  <c r="S57" i="3"/>
  <c r="R45" i="3"/>
  <c r="R37" i="3"/>
  <c r="R46" i="3"/>
  <c r="D35" i="1"/>
  <c r="D40" i="3" s="1"/>
  <c r="K13" i="4"/>
  <c r="L13" i="4"/>
  <c r="M13" i="4"/>
  <c r="O13" i="4"/>
  <c r="J62" i="3"/>
  <c r="J13" i="4"/>
  <c r="I13" i="4"/>
  <c r="S14" i="3"/>
  <c r="P20" i="3"/>
  <c r="S10" i="3"/>
  <c r="S18" i="3"/>
  <c r="S21" i="3"/>
  <c r="S11" i="3"/>
  <c r="P21" i="3"/>
  <c r="S22" i="3"/>
  <c r="P9" i="3"/>
  <c r="S9" i="3"/>
  <c r="E18" i="6"/>
  <c r="E20" i="6" s="1"/>
  <c r="E22" i="6" s="1"/>
  <c r="E40" i="6" s="1"/>
  <c r="E5" i="1"/>
  <c r="E6" i="1" s="1"/>
  <c r="H34" i="1"/>
  <c r="S39" i="3" s="1"/>
  <c r="E34" i="1"/>
  <c r="L39" i="3" s="1"/>
  <c r="F34" i="1"/>
  <c r="M39" i="3" s="1"/>
  <c r="O39" i="3" s="1"/>
  <c r="G34" i="1"/>
  <c r="P39" i="3" s="1"/>
  <c r="R39" i="3" s="1"/>
  <c r="F4" i="1"/>
  <c r="G21" i="2"/>
  <c r="H15" i="2" s="1"/>
  <c r="H13" i="2"/>
  <c r="L20" i="2"/>
  <c r="I14" i="2" s="1"/>
  <c r="G10" i="2"/>
  <c r="B19" i="2"/>
  <c r="L19" i="2"/>
  <c r="F29" i="2"/>
  <c r="G27" i="2" s="1"/>
  <c r="J14" i="2" s="1"/>
  <c r="B20" i="2"/>
  <c r="K29" i="2"/>
  <c r="L27" i="2" s="1"/>
  <c r="K14" i="2" s="1"/>
  <c r="G20" i="2"/>
  <c r="H14" i="2" s="1"/>
  <c r="J7" i="2" s="1"/>
  <c r="L9" i="2" s="1"/>
  <c r="V21" i="3" l="1"/>
  <c r="F27" i="6"/>
  <c r="E98" i="6"/>
  <c r="E136" i="6" s="1"/>
  <c r="C129" i="6"/>
  <c r="E127" i="6"/>
  <c r="H142" i="6"/>
  <c r="H147" i="6" s="1"/>
  <c r="H108" i="6"/>
  <c r="H107" i="6"/>
  <c r="H141" i="6"/>
  <c r="H146" i="6" s="1"/>
  <c r="F109" i="6"/>
  <c r="F148" i="6" s="1"/>
  <c r="P31" i="3"/>
  <c r="P55" i="3"/>
  <c r="I66" i="3"/>
  <c r="L66" i="3"/>
  <c r="P68" i="3"/>
  <c r="G57" i="6"/>
  <c r="J68" i="3"/>
  <c r="E57" i="6"/>
  <c r="M68" i="3"/>
  <c r="F57" i="6"/>
  <c r="U39" i="3"/>
  <c r="F40" i="3"/>
  <c r="I40" i="3"/>
  <c r="V15" i="3"/>
  <c r="V17" i="3"/>
  <c r="P13" i="4"/>
  <c r="V20" i="3"/>
  <c r="V23" i="3"/>
  <c r="V12" i="3"/>
  <c r="V19" i="3"/>
  <c r="V16" i="3"/>
  <c r="S23" i="3"/>
  <c r="D36" i="1"/>
  <c r="D41" i="3" s="1"/>
  <c r="M62" i="3"/>
  <c r="P62" i="3" s="1"/>
  <c r="V14" i="3"/>
  <c r="S17" i="3"/>
  <c r="S16" i="3"/>
  <c r="S15" i="3"/>
  <c r="V10" i="3"/>
  <c r="V18" i="3"/>
  <c r="S12" i="3"/>
  <c r="S19" i="3"/>
  <c r="V11" i="3"/>
  <c r="V22" i="3"/>
  <c r="V13" i="3"/>
  <c r="S13" i="3"/>
  <c r="G27" i="6" s="1"/>
  <c r="V9" i="3"/>
  <c r="G4" i="1"/>
  <c r="G18" i="6" s="1"/>
  <c r="G20" i="6" s="1"/>
  <c r="G22" i="6" s="1"/>
  <c r="G40" i="6" s="1"/>
  <c r="F5" i="1"/>
  <c r="F6" i="1" s="1"/>
  <c r="F18" i="6"/>
  <c r="F20" i="6" s="1"/>
  <c r="F22" i="6" s="1"/>
  <c r="F40" i="6" s="1"/>
  <c r="H35" i="1"/>
  <c r="S40" i="3" s="1"/>
  <c r="U40" i="3" s="1"/>
  <c r="E35" i="1"/>
  <c r="L40" i="3" s="1"/>
  <c r="F35" i="1"/>
  <c r="M40" i="3" s="1"/>
  <c r="O40" i="3" s="1"/>
  <c r="G35" i="1"/>
  <c r="P40" i="3" s="1"/>
  <c r="R40" i="3" s="1"/>
  <c r="G22" i="2"/>
  <c r="L28" i="2"/>
  <c r="K15" i="2" s="1"/>
  <c r="G28" i="2"/>
  <c r="J15" i="2" s="1"/>
  <c r="J8" i="2" s="1"/>
  <c r="L10" i="2" s="1"/>
  <c r="L22" i="2"/>
  <c r="I13" i="2"/>
  <c r="L26" i="2"/>
  <c r="G11" i="2"/>
  <c r="G26" i="2"/>
  <c r="H27" i="6" l="1"/>
  <c r="E56" i="6"/>
  <c r="E36" i="6" s="1"/>
  <c r="F98" i="6"/>
  <c r="F136" i="6" s="1"/>
  <c r="G98" i="6"/>
  <c r="G136" i="6" s="1"/>
  <c r="F101" i="6"/>
  <c r="F139" i="6" s="1"/>
  <c r="G101" i="6"/>
  <c r="G139" i="6" s="1"/>
  <c r="E101" i="6"/>
  <c r="E139" i="6" s="1"/>
  <c r="F127" i="6"/>
  <c r="E154" i="6"/>
  <c r="C130" i="6"/>
  <c r="S31" i="3"/>
  <c r="G109" i="6"/>
  <c r="G148" i="6" s="1"/>
  <c r="H109" i="6"/>
  <c r="H148" i="6" s="1"/>
  <c r="D56" i="6"/>
  <c r="D36" i="6" s="1"/>
  <c r="O66" i="3"/>
  <c r="F56" i="6" s="1"/>
  <c r="F100" i="6" s="1"/>
  <c r="S55" i="3"/>
  <c r="R66" i="3"/>
  <c r="V31" i="3"/>
  <c r="S68" i="3"/>
  <c r="V68" i="3" s="1"/>
  <c r="H57" i="6"/>
  <c r="I41" i="3"/>
  <c r="F41" i="3"/>
  <c r="G5" i="1"/>
  <c r="G6" i="1" s="1"/>
  <c r="H4" i="1"/>
  <c r="H36" i="1"/>
  <c r="S41" i="3" s="1"/>
  <c r="U41" i="3" s="1"/>
  <c r="E36" i="1"/>
  <c r="L41" i="3" s="1"/>
  <c r="F36" i="1"/>
  <c r="M41" i="3" s="1"/>
  <c r="O41" i="3" s="1"/>
  <c r="G36" i="1"/>
  <c r="P41" i="3" s="1"/>
  <c r="R41" i="3" s="1"/>
  <c r="D37" i="1"/>
  <c r="D42" i="3" s="1"/>
  <c r="J13" i="2"/>
  <c r="J6" i="2" s="1"/>
  <c r="G29" i="2"/>
  <c r="L29" i="2"/>
  <c r="K13" i="2"/>
  <c r="E100" i="6" l="1"/>
  <c r="E138" i="6" s="1"/>
  <c r="F138" i="6"/>
  <c r="D100" i="6"/>
  <c r="D138" i="6" s="1"/>
  <c r="H101" i="6"/>
  <c r="H139" i="6" s="1"/>
  <c r="D128" i="6"/>
  <c r="W31" i="3"/>
  <c r="F42" i="3"/>
  <c r="I42" i="3"/>
  <c r="S62" i="3"/>
  <c r="U66" i="3" s="1"/>
  <c r="G56" i="6"/>
  <c r="H5" i="1"/>
  <c r="H6" i="1" s="1"/>
  <c r="H18" i="6"/>
  <c r="H20" i="6" s="1"/>
  <c r="H22" i="6" s="1"/>
  <c r="H40" i="6" s="1"/>
  <c r="H37" i="1"/>
  <c r="S42" i="3" s="1"/>
  <c r="U42" i="3" s="1"/>
  <c r="E37" i="1"/>
  <c r="L42" i="3" s="1"/>
  <c r="F37" i="1"/>
  <c r="M42" i="3" s="1"/>
  <c r="O42" i="3" s="1"/>
  <c r="G37" i="1"/>
  <c r="P42" i="3" s="1"/>
  <c r="R42" i="3" s="1"/>
  <c r="D38" i="1"/>
  <c r="D43" i="3" s="1"/>
  <c r="J9" i="2"/>
  <c r="L8" i="2"/>
  <c r="L11" i="2" s="1"/>
  <c r="F36" i="6" l="1"/>
  <c r="V66" i="3"/>
  <c r="G100" i="6"/>
  <c r="G138" i="6" s="1"/>
  <c r="G36" i="6"/>
  <c r="E128" i="6"/>
  <c r="F143" i="6"/>
  <c r="H56" i="6"/>
  <c r="H36" i="6" s="1"/>
  <c r="F43" i="3"/>
  <c r="I43" i="3"/>
  <c r="I49" i="3" s="1"/>
  <c r="D99" i="6" s="1"/>
  <c r="H38" i="1"/>
  <c r="S43" i="3" s="1"/>
  <c r="U43" i="3" s="1"/>
  <c r="U49" i="3" s="1"/>
  <c r="E38" i="1"/>
  <c r="L43" i="3" s="1"/>
  <c r="L49" i="3" s="1"/>
  <c r="F38" i="1"/>
  <c r="M43" i="3" s="1"/>
  <c r="O43" i="3" s="1"/>
  <c r="O49" i="3" s="1"/>
  <c r="G38" i="1"/>
  <c r="P43" i="3" s="1"/>
  <c r="R43" i="3" s="1"/>
  <c r="R49" i="3" s="1"/>
  <c r="D38" i="6" l="1"/>
  <c r="H100" i="6"/>
  <c r="H138" i="6" s="1"/>
  <c r="F42" i="6"/>
  <c r="F38" i="6"/>
  <c r="E38" i="6"/>
  <c r="E42" i="6"/>
  <c r="F99" i="6"/>
  <c r="E99" i="6"/>
  <c r="H98" i="6"/>
  <c r="H136" i="6" s="1"/>
  <c r="F154" i="6"/>
  <c r="F128" i="6"/>
  <c r="V49" i="3"/>
  <c r="D43" i="6" l="1"/>
  <c r="D44" i="6" s="1"/>
  <c r="F43" i="6"/>
  <c r="E43" i="6"/>
  <c r="H38" i="6"/>
  <c r="H42" i="6"/>
  <c r="G42" i="6"/>
  <c r="G38" i="6"/>
  <c r="G99" i="6"/>
  <c r="H99" i="6"/>
  <c r="D129" i="6"/>
  <c r="D30" i="6" l="1"/>
  <c r="D112" i="6" s="1"/>
  <c r="D151" i="6" s="1"/>
  <c r="F44" i="6"/>
  <c r="F30" i="6" s="1"/>
  <c r="F31" i="6" s="1"/>
  <c r="E44" i="6"/>
  <c r="E30" i="6" s="1"/>
  <c r="E31" i="6" s="1"/>
  <c r="H43" i="6"/>
  <c r="G43" i="6"/>
  <c r="E129" i="6"/>
  <c r="G143" i="6"/>
  <c r="D102" i="6"/>
  <c r="D137" i="6"/>
  <c r="H102" i="6"/>
  <c r="H105" i="6" s="1"/>
  <c r="H106" i="6" s="1"/>
  <c r="H137" i="6"/>
  <c r="H140" i="6" s="1"/>
  <c r="F102" i="6"/>
  <c r="F105" i="6" s="1"/>
  <c r="F106" i="6" s="1"/>
  <c r="F137" i="6"/>
  <c r="F140" i="6" s="1"/>
  <c r="F144" i="6" s="1"/>
  <c r="E102" i="6"/>
  <c r="E105" i="6" s="1"/>
  <c r="E137" i="6"/>
  <c r="E140" i="6" s="1"/>
  <c r="E144" i="6" s="1"/>
  <c r="G102" i="6"/>
  <c r="G105" i="6" s="1"/>
  <c r="G106" i="6" s="1"/>
  <c r="G137" i="6"/>
  <c r="G140" i="6" s="1"/>
  <c r="D31" i="6" l="1"/>
  <c r="F112" i="6"/>
  <c r="F151" i="6" s="1"/>
  <c r="D140" i="6"/>
  <c r="D144" i="6" s="1"/>
  <c r="D156" i="6" s="1"/>
  <c r="E112" i="6"/>
  <c r="E151" i="6" s="1"/>
  <c r="D105" i="6"/>
  <c r="G44" i="6"/>
  <c r="G30" i="6" s="1"/>
  <c r="G31" i="6" s="1"/>
  <c r="H44" i="6"/>
  <c r="H30" i="6" s="1"/>
  <c r="H31" i="6" s="1"/>
  <c r="G144" i="6"/>
  <c r="G154" i="6"/>
  <c r="F129" i="6"/>
  <c r="F145" i="6"/>
  <c r="D157" i="6" l="1"/>
  <c r="D158" i="6" s="1"/>
  <c r="G145" i="6"/>
  <c r="E156" i="6"/>
  <c r="E157" i="6" s="1"/>
  <c r="F156" i="6"/>
  <c r="F157" i="6" s="1"/>
  <c r="G112" i="6"/>
  <c r="H112" i="6"/>
  <c r="F115" i="6"/>
  <c r="F116" i="6" s="1"/>
  <c r="E115" i="6"/>
  <c r="E116" i="6" s="1"/>
  <c r="D115" i="6"/>
  <c r="D130" i="6"/>
  <c r="E158" i="6" l="1"/>
  <c r="F158" i="6" s="1"/>
  <c r="D116" i="6"/>
  <c r="D117" i="6" s="1"/>
  <c r="E117" i="6" s="1"/>
  <c r="F117" i="6" s="1"/>
  <c r="G151" i="6"/>
  <c r="G156" i="6" s="1"/>
  <c r="G157" i="6" s="1"/>
  <c r="G115" i="6"/>
  <c r="G116" i="6" s="1"/>
  <c r="H151" i="6"/>
  <c r="H113" i="6"/>
  <c r="E130" i="6"/>
  <c r="H143" i="6"/>
  <c r="H144" i="6" s="1"/>
  <c r="H145" i="6" s="1"/>
  <c r="G158" i="6" l="1"/>
  <c r="G117" i="6"/>
  <c r="H115" i="6"/>
  <c r="C118" i="6" s="1"/>
  <c r="H152" i="6"/>
  <c r="H154" i="6"/>
  <c r="F130" i="6"/>
  <c r="H116" i="6" l="1"/>
  <c r="H117" i="6" s="1"/>
  <c r="C119" i="6"/>
  <c r="H156" i="6"/>
  <c r="C160" i="6" s="1"/>
  <c r="C159" i="6" l="1"/>
  <c r="H157" i="6"/>
  <c r="H158" i="6" s="1"/>
</calcChain>
</file>

<file path=xl/sharedStrings.xml><?xml version="1.0" encoding="utf-8"?>
<sst xmlns="http://schemas.openxmlformats.org/spreadsheetml/2006/main" count="628" uniqueCount="287">
  <si>
    <t>Año 1</t>
  </si>
  <si>
    <t>Año 2</t>
  </si>
  <si>
    <t>Año 3</t>
  </si>
  <si>
    <t>Año 4</t>
  </si>
  <si>
    <t>Año 5</t>
  </si>
  <si>
    <t>Gerente general</t>
  </si>
  <si>
    <t>Encargado de bodega</t>
  </si>
  <si>
    <t>Operario de bodega</t>
  </si>
  <si>
    <t>Encargado de TI</t>
  </si>
  <si>
    <t xml:space="preserve">Asesor en linea </t>
  </si>
  <si>
    <t>Lector de código de barras</t>
  </si>
  <si>
    <t>Carro de picking</t>
  </si>
  <si>
    <t>Mesa de inspección y pesaje</t>
  </si>
  <si>
    <t>Mesa de empaque con superficie lisa y selladora</t>
  </si>
  <si>
    <t>Báscula digital de precisión</t>
  </si>
  <si>
    <t>Impresora térmica de etiquetas</t>
  </si>
  <si>
    <t>Estación de consolidación (mesa + rack + zona carga)</t>
  </si>
  <si>
    <t>Caja decorativa individual</t>
  </si>
  <si>
    <t>Papel seda personalizado</t>
  </si>
  <si>
    <t>Cinta decorativa / lazo</t>
  </si>
  <si>
    <t>Bolsa de entrega / envío</t>
  </si>
  <si>
    <t>Etiqueta de envío y código de barras</t>
  </si>
  <si>
    <t>Factura impresa / packing slip</t>
  </si>
  <si>
    <t>Adhesivo de seguridad / sello autenticidad</t>
  </si>
  <si>
    <t>Cinta adhesiva y material de embalaje</t>
  </si>
  <si>
    <t>Guantes y elementos de protección</t>
  </si>
  <si>
    <t>PESO RELATIVO</t>
  </si>
  <si>
    <t>K</t>
  </si>
  <si>
    <t>FOi</t>
  </si>
  <si>
    <t>FSi</t>
  </si>
  <si>
    <t>LUGAR</t>
  </si>
  <si>
    <t>COSTO Ci</t>
  </si>
  <si>
    <t>1/Ci</t>
  </si>
  <si>
    <t>MPL</t>
  </si>
  <si>
    <t>San Diego</t>
  </si>
  <si>
    <t>Laureles</t>
  </si>
  <si>
    <t>El Guayabo</t>
  </si>
  <si>
    <t>Sum 1/Ci</t>
  </si>
  <si>
    <t>FACTORES</t>
  </si>
  <si>
    <t>Seguridad</t>
  </si>
  <si>
    <t>Accesibilidad</t>
  </si>
  <si>
    <t>Cercania</t>
  </si>
  <si>
    <t>Servicios públicos</t>
  </si>
  <si>
    <t>Wj</t>
  </si>
  <si>
    <t>Valor de 0 a 1, que la suma de todos de 1</t>
  </si>
  <si>
    <t>E1</t>
  </si>
  <si>
    <t>E2</t>
  </si>
  <si>
    <t>E3</t>
  </si>
  <si>
    <t>sum</t>
  </si>
  <si>
    <t>Rij</t>
  </si>
  <si>
    <t>Total</t>
  </si>
  <si>
    <t>Inversion inicial</t>
  </si>
  <si>
    <t>Equipo</t>
  </si>
  <si>
    <t>Valor unitario </t>
  </si>
  <si>
    <t>Valor total </t>
  </si>
  <si>
    <t>Integración con pasarelas de pago y logística</t>
  </si>
  <si>
    <t>Dotación y seguridad</t>
  </si>
  <si>
    <t>Adecuacion del local</t>
  </si>
  <si>
    <t>Costos variables</t>
  </si>
  <si>
    <t>Insumo o material</t>
  </si>
  <si>
    <t>Costo unitario </t>
  </si>
  <si>
    <t>Costo total</t>
  </si>
  <si>
    <t>Unidad de perfume</t>
  </si>
  <si>
    <t>Costos fijos</t>
  </si>
  <si>
    <t>Software y licencias</t>
  </si>
  <si>
    <t>mes</t>
  </si>
  <si>
    <t>Servicios públicos e internet</t>
  </si>
  <si>
    <t>Mantenimiento y limpieza</t>
  </si>
  <si>
    <t>Hosting, dominio, SSL y mantenimiento mensual</t>
  </si>
  <si>
    <t>Arriendo</t>
  </si>
  <si>
    <t>NOMINA</t>
  </si>
  <si>
    <t>Cargos</t>
  </si>
  <si>
    <t>Salario estimado</t>
  </si>
  <si>
    <t>Salario neto</t>
  </si>
  <si>
    <t>Año 0</t>
  </si>
  <si>
    <t>Tabla 1. Inflación proyectada</t>
  </si>
  <si>
    <t>Año</t>
  </si>
  <si>
    <t>Tabla 2. Ingresos operacionales</t>
  </si>
  <si>
    <t>INGRESOS OPERACIONALES Y NO OPERACIONALES</t>
  </si>
  <si>
    <t xml:space="preserve">Total Ingresos operacionales </t>
  </si>
  <si>
    <t>Pesos colombianos</t>
  </si>
  <si>
    <t xml:space="preserve">Unidades de análisis </t>
  </si>
  <si>
    <t>Perfumes Aria</t>
  </si>
  <si>
    <t>Evaluación Financiera</t>
  </si>
  <si>
    <t>Título del proyecto</t>
  </si>
  <si>
    <t>Fecha de realización</t>
  </si>
  <si>
    <t>Inflación Proyectada</t>
  </si>
  <si>
    <t>Precio venta  ($/und)</t>
  </si>
  <si>
    <t>Demanda estimada mensual</t>
  </si>
  <si>
    <t>Demanda estimada anual</t>
  </si>
  <si>
    <t>Promedio pedidos mensuales</t>
  </si>
  <si>
    <t>Computador</t>
  </si>
  <si>
    <t>Contador</t>
  </si>
  <si>
    <t>Aseadora</t>
  </si>
  <si>
    <t xml:space="preserve">Estanterías metálicas </t>
  </si>
  <si>
    <t>Costo de envio de pedido</t>
  </si>
  <si>
    <t>Cámaras de seguridad CCTV </t>
  </si>
  <si>
    <t>Sillas ergonómicas </t>
  </si>
  <si>
    <t>Escritorios </t>
  </si>
  <si>
    <t>Cajonera o archivador metálico </t>
  </si>
  <si>
    <t>Impresora Laser </t>
  </si>
  <si>
    <t>Alfombra antiestática </t>
  </si>
  <si>
    <t xml:space="preserve">Desarrollo web y app e-commerce </t>
  </si>
  <si>
    <t>Comision Integración con pasarelas de pago y logística</t>
  </si>
  <si>
    <t>Asistente de IA mensual</t>
  </si>
  <si>
    <t>año</t>
  </si>
  <si>
    <t>UPS o sistema de respaldo eléctrico (unico pago) </t>
  </si>
  <si>
    <t>Unidades</t>
  </si>
  <si>
    <t>Requerimientos Anuales</t>
  </si>
  <si>
    <t>Capacidad</t>
  </si>
  <si>
    <t>Publicidad digital </t>
  </si>
  <si>
    <t>Total inversion</t>
  </si>
  <si>
    <t>Cant</t>
  </si>
  <si>
    <t>Total Costos variables</t>
  </si>
  <si>
    <t>Total Costos fijos</t>
  </si>
  <si>
    <t>Numero de pedidos</t>
  </si>
  <si>
    <t>Inflacion</t>
  </si>
  <si>
    <t>Pesos</t>
  </si>
  <si>
    <t>Promedio móvil ponderado</t>
  </si>
  <si>
    <t>Arabe</t>
  </si>
  <si>
    <t>Diseñador</t>
  </si>
  <si>
    <t>Nicho</t>
  </si>
  <si>
    <t>Costo</t>
  </si>
  <si>
    <t>% preferencia</t>
  </si>
  <si>
    <t>% estimado</t>
  </si>
  <si>
    <t>Costo estimado</t>
  </si>
  <si>
    <t>Costo de empaque</t>
  </si>
  <si>
    <t>Costo unitario</t>
  </si>
  <si>
    <t>Precio de venta</t>
  </si>
  <si>
    <t>Estimacion costo y precio</t>
  </si>
  <si>
    <t>Sin preferencia</t>
  </si>
  <si>
    <t xml:space="preserve">Estación de consolidación </t>
  </si>
  <si>
    <t xml:space="preserve">Mesa de empaque </t>
  </si>
  <si>
    <t>Adhesivo de seguridad, autenticidad</t>
  </si>
  <si>
    <t>#</t>
  </si>
  <si>
    <t>Tabla 3. Inversiones</t>
  </si>
  <si>
    <t>INVERSIONES</t>
  </si>
  <si>
    <t>Activos fijos depreciables</t>
  </si>
  <si>
    <t>Activos diferidos</t>
  </si>
  <si>
    <t>Terrenos</t>
  </si>
  <si>
    <t>Capital de trabajo</t>
  </si>
  <si>
    <t>Total inversión</t>
  </si>
  <si>
    <t>Tabla 4. Datos para el cálculo de la depreciación y amortización de activos</t>
  </si>
  <si>
    <t>Datos para cálculo de depreciación y amortización de activos</t>
  </si>
  <si>
    <t>Vida útil activos depreciables (años</t>
  </si>
  <si>
    <t>Periodo amortización diferidos e intangibles (años)</t>
  </si>
  <si>
    <t>Tabla 5. Datos apra el cálculo de los egresos</t>
  </si>
  <si>
    <t>DATOS PARA EL CÁLCULO DE EGRESOS</t>
  </si>
  <si>
    <t>Costo variable unitario ($/kg)</t>
  </si>
  <si>
    <t>Costos variables totales (millones de pesos)</t>
  </si>
  <si>
    <t xml:space="preserve">Costos fijos por año </t>
  </si>
  <si>
    <t xml:space="preserve">Gastos de administración y ventas </t>
  </si>
  <si>
    <t>Vlr de rescate (millones de pesos corrientes)</t>
  </si>
  <si>
    <t>Tabla 6. Datos para el cálculo de la financiación</t>
  </si>
  <si>
    <t>FINANCIACIÓN</t>
  </si>
  <si>
    <t>Préstamo (millones)</t>
  </si>
  <si>
    <t>Interés efectivo</t>
  </si>
  <si>
    <t>Forma de pago</t>
  </si>
  <si>
    <t>Número de cuotas</t>
  </si>
  <si>
    <t>Tabla 7. Tarifa impositiva</t>
  </si>
  <si>
    <t>IMPUESTOS</t>
  </si>
  <si>
    <t>Impuesto de renta (%)</t>
  </si>
  <si>
    <t>Tabla 8. Cálculo de los costos de oportunidad</t>
  </si>
  <si>
    <t>COSTO DE OPORTUNIDAD</t>
  </si>
  <si>
    <t>Costo de oportunidad en térnimos nominales</t>
  </si>
  <si>
    <t>Porcentaje financiado con recursos propios</t>
  </si>
  <si>
    <t>Costo de la deuda d.d.i  (k.d.d.i=Kd(1-t))</t>
  </si>
  <si>
    <t>CCP ddi en términos nominales</t>
  </si>
  <si>
    <t>Concepto</t>
  </si>
  <si>
    <t xml:space="preserve">  - Costo de producción fijo</t>
  </si>
  <si>
    <t xml:space="preserve">  - Gastos de administración y ventas</t>
  </si>
  <si>
    <t>Periódo de Recuperación de la inversión</t>
  </si>
  <si>
    <t>Tabla 11</t>
  </si>
  <si>
    <t xml:space="preserve">Depreciación </t>
  </si>
  <si>
    <t>Amortización de Inversiones</t>
  </si>
  <si>
    <t>Millones de pesos</t>
  </si>
  <si>
    <t>Fin Año</t>
  </si>
  <si>
    <t>Amortización anual pesos corrientes</t>
  </si>
  <si>
    <t>Tabla 12</t>
  </si>
  <si>
    <t>Flujo de caja proyectado para el calculo de la TIR y VPN del proyecto puro despues de impuestos</t>
  </si>
  <si>
    <t>+Ingresos por ventas</t>
  </si>
  <si>
    <t xml:space="preserve">  - Costo de producción variable</t>
  </si>
  <si>
    <t xml:space="preserve">  -Amortización   intangibles</t>
  </si>
  <si>
    <t xml:space="preserve">  -Depreciación</t>
  </si>
  <si>
    <t>-Impuesto de renta</t>
  </si>
  <si>
    <t xml:space="preserve">  +Amortización   intangibles</t>
  </si>
  <si>
    <t xml:space="preserve">  +Depreciación</t>
  </si>
  <si>
    <t>-Activos depreciables</t>
  </si>
  <si>
    <t>-Activos Diferidos</t>
  </si>
  <si>
    <t>-Terrenos</t>
  </si>
  <si>
    <t>-Capital de Trabajo</t>
  </si>
  <si>
    <t>+Recuperación del Capital de Trabajo</t>
  </si>
  <si>
    <t>+Valor de Rescate</t>
  </si>
  <si>
    <t>TIR p.p. d.d.i.</t>
  </si>
  <si>
    <t>VPN(CCPP ddi)</t>
  </si>
  <si>
    <t xml:space="preserve">Flujo de Caja del Préstamo e Intereses Deducibles </t>
  </si>
  <si>
    <t>Fin año</t>
  </si>
  <si>
    <t>Amortizaciòn (abono a capital)</t>
  </si>
  <si>
    <t>Saldo después del pago</t>
  </si>
  <si>
    <t>Flujo de caja proyectado para el calculo de la TIR y VPN del inversionista despues de impuestos</t>
  </si>
  <si>
    <t>Costo de producción variable totales</t>
  </si>
  <si>
    <t>Costo de producción fijo</t>
  </si>
  <si>
    <t>Gastos de administración y ventas</t>
  </si>
  <si>
    <t>-Amortización   intangibles</t>
  </si>
  <si>
    <t>-Depreciación</t>
  </si>
  <si>
    <t>-Intereses</t>
  </si>
  <si>
    <t>+Amortización   intangibles</t>
  </si>
  <si>
    <t>+Depreciación</t>
  </si>
  <si>
    <t>(-)Capital de Trabajo</t>
  </si>
  <si>
    <t>+ Préstamo</t>
  </si>
  <si>
    <t>- Abono a Capital del Préstamo</t>
  </si>
  <si>
    <t>Tir Inv ddi</t>
  </si>
  <si>
    <r>
      <t xml:space="preserve">cuota en </t>
    </r>
    <r>
      <rPr>
        <b/>
        <sz val="12"/>
        <color rgb="FFFF0000"/>
        <rFont val="Times New Roman"/>
        <family val="1"/>
      </rPr>
      <t>millones de $ corrientes</t>
    </r>
  </si>
  <si>
    <r>
      <t xml:space="preserve">int deducibles </t>
    </r>
    <r>
      <rPr>
        <b/>
        <sz val="12"/>
        <color rgb="FFFF0000"/>
        <rFont val="Times New Roman"/>
        <family val="1"/>
      </rPr>
      <t>en millones de $ corrientes</t>
    </r>
  </si>
  <si>
    <t>Flujo proyecto puro d.d.i.</t>
  </si>
  <si>
    <t>Flujo de caja del proyecto puro d.d.i actualizado</t>
  </si>
  <si>
    <t>Flujo de caja acumulado</t>
  </si>
  <si>
    <t>Flujo de caja inversionista ddi</t>
  </si>
  <si>
    <t>Flujo de caja actualizado d.d.i</t>
  </si>
  <si>
    <t>Producción (und/año)</t>
  </si>
  <si>
    <t>Publicidad digital inicial</t>
  </si>
  <si>
    <t>Estimacion Aumento Salario</t>
  </si>
  <si>
    <t>Contenido y fidelización </t>
  </si>
  <si>
    <t>Instalacion (Montaje de red y adecuación eléctrica )</t>
  </si>
  <si>
    <t>,</t>
  </si>
  <si>
    <t>Valor sin sumar, solo para proyectar</t>
  </si>
  <si>
    <t>Gastos administrativos</t>
  </si>
  <si>
    <t>Estimacion Inflación</t>
  </si>
  <si>
    <t>Aumento salarial</t>
  </si>
  <si>
    <t>Vida util/periodo</t>
  </si>
  <si>
    <t>= Renta bruta</t>
  </si>
  <si>
    <t>= Renta Líquida Gravable (RLG)</t>
  </si>
  <si>
    <t>Depreciación anual ( 5 años )</t>
  </si>
  <si>
    <t>Depreciación anual ( 10 años )</t>
  </si>
  <si>
    <t>5 y 10</t>
  </si>
  <si>
    <t>Tabla 9.</t>
  </si>
  <si>
    <t>Tabla 10</t>
  </si>
  <si>
    <t>Tabla 13</t>
  </si>
  <si>
    <t>CXC</t>
  </si>
  <si>
    <t>CXP</t>
  </si>
  <si>
    <t>Dias inventario</t>
  </si>
  <si>
    <t>Inventario</t>
  </si>
  <si>
    <t>Dias proveedores</t>
  </si>
  <si>
    <t>Efectivo</t>
  </si>
  <si>
    <t>Dias Efectivo</t>
  </si>
  <si>
    <t>Variacion</t>
  </si>
  <si>
    <t>Capital de trabajo neto por el método contable</t>
  </si>
  <si>
    <t>Activos fijos depreciables a 5 años</t>
  </si>
  <si>
    <t>Activos fijos depreciables a 10 años</t>
  </si>
  <si>
    <t>Valor Activo</t>
  </si>
  <si>
    <t>Años de depreciacion</t>
  </si>
  <si>
    <t>Depreciacion Anual</t>
  </si>
  <si>
    <t>Años evaluacion</t>
  </si>
  <si>
    <t>Valor de desecho</t>
  </si>
  <si>
    <t>Valor de rescate</t>
  </si>
  <si>
    <t>Valor de rescate por el método de calculo contable</t>
  </si>
  <si>
    <t>Dias CXC</t>
  </si>
  <si>
    <t>Cinco cuotas iguales</t>
  </si>
  <si>
    <t>EA</t>
  </si>
  <si>
    <t>Capacidad de produccion</t>
  </si>
  <si>
    <t>% de utilizacion de la capacidad</t>
  </si>
  <si>
    <t>3 año</t>
  </si>
  <si>
    <t>3 Año</t>
  </si>
  <si>
    <t>VPN</t>
  </si>
  <si>
    <t>Precio de venta critico</t>
  </si>
  <si>
    <t>El proyecto puede resistir el cambio en el precio en hasta un 3,8% dejando este de ser atractivo para la inversión.</t>
  </si>
  <si>
    <t>Precio de venta inicial</t>
  </si>
  <si>
    <t>+10%</t>
  </si>
  <si>
    <t>+20%</t>
  </si>
  <si>
    <t>-10%</t>
  </si>
  <si>
    <t>Creado por Juan Manuel Arredondo Londoño el 28/11/2025</t>
  </si>
  <si>
    <t>Inicial</t>
  </si>
  <si>
    <t>Critico</t>
  </si>
  <si>
    <t>Resumen del escenario</t>
  </si>
  <si>
    <t>Celdas cambiantes:</t>
  </si>
  <si>
    <t>Valores actuales:</t>
  </si>
  <si>
    <t>Celdas de resultado:</t>
  </si>
  <si>
    <t>Creado por Juan Manuel Arredondo Londoño el 28/11/2025
Modificado por Juan Manuel Arredondo Londoño el 28/11/2025</t>
  </si>
  <si>
    <t>Tir Ind</t>
  </si>
  <si>
    <t>% de utilización de la capacidad</t>
  </si>
  <si>
    <t>% inicial</t>
  </si>
  <si>
    <t>% Critico</t>
  </si>
  <si>
    <t>+15%</t>
  </si>
  <si>
    <t>-15%</t>
  </si>
  <si>
    <t>% Inicial</t>
  </si>
  <si>
    <t>Precio</t>
  </si>
  <si>
    <t>% 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</si>
</sst>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0.000"/>
    <numFmt numFmtId="166" formatCode="_-&quot;$&quot;\ * #,##0_-;\-&quot;$&quot;\ * #,##0_-;_-&quot;$&quot;\ * &quot;-&quot;??_-;_-@"/>
    <numFmt numFmtId="167" formatCode="&quot;$&quot;#,##0.00"/>
    <numFmt numFmtId="168" formatCode="_-&quot;$&quot;\ * #,##0_-;\-&quot;$&quot;\ * #,##0_-;_-&quot;$&quot;\ * &quot;-&quot;??_-;_-@_-"/>
    <numFmt numFmtId="169" formatCode="_-* #,##0.00\ _€_-;\-* #,##0.00\ _€_-;_-* &quot;-&quot;??\ _€_-;_-@_-"/>
    <numFmt numFmtId="170" formatCode="_ * #.##0.00_ ;_ * \-#.##0.00_ ;_ * &quot;-&quot;??_ ;_ @_ "/>
    <numFmt numFmtId="171" formatCode="0.0%"/>
    <numFmt numFmtId="172" formatCode="0.000%"/>
    <numFmt numFmtId="173" formatCode="#,##0.000000000"/>
    <numFmt numFmtId="174" formatCode="#,##0.0000000000000000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Times New Roman"/>
      <family val="1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8"/>
      <color theme="1"/>
      <name val="Times New Roman"/>
      <family val="1"/>
    </font>
    <font>
      <sz val="8"/>
      <name val="Aptos Narrow"/>
      <family val="2"/>
      <scheme val="minor"/>
    </font>
    <font>
      <b/>
      <sz val="12"/>
      <name val="Times New Roman"/>
      <family val="1"/>
    </font>
    <font>
      <b/>
      <sz val="12"/>
      <color rgb="FFBEA27C"/>
      <name val="Times New Roman"/>
      <family val="1"/>
    </font>
    <font>
      <sz val="12"/>
      <color rgb="FFBEA27C"/>
      <name val="Times New Roman"/>
      <family val="1"/>
    </font>
    <font>
      <b/>
      <sz val="12"/>
      <color rgb="FFFFFFFF"/>
      <name val="Times New Roman"/>
      <family val="1"/>
    </font>
    <font>
      <u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FFFFFF"/>
      <name val="Times New Roman"/>
      <family val="1"/>
    </font>
    <font>
      <b/>
      <sz val="12"/>
      <color rgb="FFED7D31"/>
      <name val="Times New Roman"/>
      <family val="1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BEA27C"/>
        <bgColor indexed="64"/>
      </patternFill>
    </fill>
    <fill>
      <patternFill patternType="solid">
        <fgColor rgb="FFBEA27C"/>
        <bgColor rgb="FF00B050"/>
      </patternFill>
    </fill>
    <fill>
      <patternFill patternType="solid">
        <fgColor rgb="FFEFD6B5"/>
        <bgColor indexed="64"/>
      </patternFill>
    </fill>
    <fill>
      <patternFill patternType="solid">
        <fgColor rgb="FFF6E8D6"/>
        <bgColor indexed="64"/>
      </patternFill>
    </fill>
    <fill>
      <patternFill patternType="solid">
        <fgColor rgb="FFBEA27C"/>
        <bgColor rgb="FF000000"/>
      </patternFill>
    </fill>
    <fill>
      <patternFill patternType="solid">
        <fgColor rgb="FFF6E8D6"/>
        <bgColor rgb="FF000000"/>
      </patternFill>
    </fill>
    <fill>
      <patternFill patternType="solid">
        <fgColor rgb="FFDEBC9A"/>
        <bgColor rgb="FF000000"/>
      </patternFill>
    </fill>
    <fill>
      <patternFill patternType="solid">
        <fgColor rgb="FFEFD6B5"/>
        <bgColor rgb="FF000000"/>
      </patternFill>
    </fill>
    <fill>
      <patternFill patternType="solid">
        <fgColor rgb="FFFFE497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497"/>
        <bgColor indexed="64"/>
      </patternFill>
    </fill>
    <fill>
      <patternFill patternType="solid">
        <fgColor rgb="FFDEBC9A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3" fillId="0" borderId="8"/>
    <xf numFmtId="9" fontId="3" fillId="0" borderId="8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8"/>
    <xf numFmtId="169" fontId="1" fillId="0" borderId="8" applyFont="0" applyFill="0" applyBorder="0" applyAlignment="0" applyProtection="0"/>
    <xf numFmtId="170" fontId="3" fillId="0" borderId="8" applyFont="0" applyFill="0" applyBorder="0" applyAlignment="0" applyProtection="0"/>
    <xf numFmtId="9" fontId="1" fillId="0" borderId="8" applyFont="0" applyFill="0" applyBorder="0" applyAlignment="0" applyProtection="0"/>
  </cellStyleXfs>
  <cellXfs count="38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/>
    </xf>
    <xf numFmtId="11" fontId="6" fillId="0" borderId="2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6" fillId="0" borderId="8" xfId="0" applyFont="1" applyBorder="1" applyAlignment="1">
      <alignment horizontal="center"/>
    </xf>
    <xf numFmtId="164" fontId="4" fillId="0" borderId="8" xfId="0" applyNumberFormat="1" applyFont="1" applyBorder="1" applyAlignment="1">
      <alignment horizontal="left" vertical="center"/>
    </xf>
    <xf numFmtId="167" fontId="6" fillId="0" borderId="0" xfId="0" applyNumberFormat="1" applyFont="1"/>
    <xf numFmtId="0" fontId="6" fillId="0" borderId="9" xfId="0" applyFont="1" applyBorder="1" applyAlignment="1">
      <alignment horizontal="center"/>
    </xf>
    <xf numFmtId="164" fontId="4" fillId="0" borderId="9" xfId="0" applyNumberFormat="1" applyFont="1" applyBorder="1" applyAlignment="1">
      <alignment horizontal="left" vertical="center"/>
    </xf>
    <xf numFmtId="0" fontId="6" fillId="0" borderId="9" xfId="0" applyFont="1" applyBorder="1"/>
    <xf numFmtId="164" fontId="10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left" vertical="center"/>
    </xf>
    <xf numFmtId="164" fontId="10" fillId="0" borderId="9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10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6" fillId="0" borderId="8" xfId="0" applyFont="1" applyBorder="1"/>
    <xf numFmtId="0" fontId="4" fillId="0" borderId="9" xfId="0" applyFont="1" applyBorder="1" applyAlignment="1">
      <alignment horizontal="left" vertical="center"/>
    </xf>
    <xf numFmtId="44" fontId="6" fillId="0" borderId="9" xfId="1" applyFont="1" applyBorder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11" fillId="0" borderId="8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3" fontId="4" fillId="0" borderId="9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3" fontId="4" fillId="0" borderId="14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/>
    </xf>
    <xf numFmtId="0" fontId="6" fillId="0" borderId="7" xfId="0" applyFont="1" applyBorder="1"/>
    <xf numFmtId="0" fontId="4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64" fontId="4" fillId="0" borderId="8" xfId="0" applyNumberFormat="1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44" fontId="6" fillId="0" borderId="20" xfId="1" applyFont="1" applyBorder="1"/>
    <xf numFmtId="44" fontId="6" fillId="0" borderId="8" xfId="1" applyFont="1" applyBorder="1"/>
    <xf numFmtId="44" fontId="6" fillId="0" borderId="20" xfId="1" applyFont="1" applyBorder="1" applyAlignment="1">
      <alignment horizontal="center"/>
    </xf>
    <xf numFmtId="44" fontId="6" fillId="0" borderId="8" xfId="1" applyFont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/>
    <xf numFmtId="166" fontId="6" fillId="0" borderId="0" xfId="0" applyNumberFormat="1" applyFont="1"/>
    <xf numFmtId="166" fontId="6" fillId="0" borderId="1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8" fillId="0" borderId="8" xfId="2" applyFont="1"/>
    <xf numFmtId="0" fontId="13" fillId="0" borderId="8" xfId="2" applyFont="1" applyAlignment="1">
      <alignment horizontal="left"/>
    </xf>
    <xf numFmtId="0" fontId="13" fillId="0" borderId="8" xfId="2" applyFont="1" applyAlignment="1">
      <alignment horizontal="centerContinuous"/>
    </xf>
    <xf numFmtId="4" fontId="8" fillId="0" borderId="0" xfId="0" applyNumberFormat="1" applyFont="1"/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/>
    <xf numFmtId="4" fontId="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8" fillId="0" borderId="8" xfId="3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Continuous"/>
    </xf>
    <xf numFmtId="0" fontId="8" fillId="2" borderId="0" xfId="0" applyFont="1" applyFill="1"/>
    <xf numFmtId="2" fontId="6" fillId="0" borderId="0" xfId="0" applyNumberFormat="1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10" fontId="6" fillId="0" borderId="9" xfId="4" applyNumberFormat="1" applyFont="1" applyFill="1" applyBorder="1" applyAlignment="1">
      <alignment horizontal="center" vertical="center"/>
    </xf>
    <xf numFmtId="10" fontId="6" fillId="0" borderId="9" xfId="4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2" fontId="0" fillId="0" borderId="9" xfId="0" applyNumberFormat="1" applyBorder="1"/>
    <xf numFmtId="9" fontId="6" fillId="0" borderId="9" xfId="4" applyFont="1" applyFill="1" applyBorder="1" applyAlignment="1">
      <alignment horizontal="center"/>
    </xf>
    <xf numFmtId="10" fontId="6" fillId="0" borderId="9" xfId="4" applyNumberFormat="1" applyFont="1" applyFill="1" applyBorder="1"/>
    <xf numFmtId="10" fontId="7" fillId="0" borderId="8" xfId="4" applyNumberFormat="1" applyFont="1" applyFill="1" applyBorder="1" applyAlignment="1">
      <alignment horizontal="center" vertical="center"/>
    </xf>
    <xf numFmtId="44" fontId="6" fillId="0" borderId="9" xfId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/>
    <xf numFmtId="165" fontId="9" fillId="6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44" fontId="6" fillId="5" borderId="9" xfId="0" applyNumberFormat="1" applyFont="1" applyFill="1" applyBorder="1" applyAlignment="1">
      <alignment horizontal="center" vertical="center"/>
    </xf>
    <xf numFmtId="164" fontId="6" fillId="7" borderId="9" xfId="0" applyNumberFormat="1" applyFont="1" applyFill="1" applyBorder="1"/>
    <xf numFmtId="164" fontId="6" fillId="7" borderId="9" xfId="0" applyNumberFormat="1" applyFont="1" applyFill="1" applyBorder="1" applyAlignment="1">
      <alignment vertical="center"/>
    </xf>
    <xf numFmtId="164" fontId="6" fillId="7" borderId="9" xfId="0" applyNumberFormat="1" applyFont="1" applyFill="1" applyBorder="1" applyAlignment="1">
      <alignment horizontal="center" vertical="center"/>
    </xf>
    <xf numFmtId="166" fontId="6" fillId="7" borderId="2" xfId="0" applyNumberFormat="1" applyFont="1" applyFill="1" applyBorder="1"/>
    <xf numFmtId="0" fontId="6" fillId="7" borderId="2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2" applyFont="1" applyBorder="1"/>
    <xf numFmtId="0" fontId="13" fillId="0" borderId="9" xfId="2" applyFont="1" applyBorder="1" applyAlignment="1">
      <alignment horizontal="left"/>
    </xf>
    <xf numFmtId="14" fontId="13" fillId="0" borderId="9" xfId="2" applyNumberFormat="1" applyFont="1" applyBorder="1" applyAlignment="1">
      <alignment horizontal="center" vertical="center"/>
    </xf>
    <xf numFmtId="0" fontId="13" fillId="7" borderId="8" xfId="2" applyFont="1" applyFill="1" applyAlignment="1">
      <alignment horizontal="center"/>
    </xf>
    <xf numFmtId="0" fontId="8" fillId="7" borderId="8" xfId="2" applyFont="1" applyFill="1" applyAlignment="1">
      <alignment horizontal="center"/>
    </xf>
    <xf numFmtId="1" fontId="8" fillId="8" borderId="9" xfId="0" applyNumberFormat="1" applyFont="1" applyFill="1" applyBorder="1" applyAlignment="1">
      <alignment horizontal="center"/>
    </xf>
    <xf numFmtId="1" fontId="8" fillId="8" borderId="9" xfId="0" applyNumberFormat="1" applyFont="1" applyFill="1" applyBorder="1"/>
    <xf numFmtId="168" fontId="8" fillId="8" borderId="9" xfId="1" applyNumberFormat="1" applyFont="1" applyFill="1" applyBorder="1" applyAlignment="1">
      <alignment horizontal="right"/>
    </xf>
    <xf numFmtId="168" fontId="8" fillId="8" borderId="9" xfId="1" applyNumberFormat="1" applyFont="1" applyFill="1" applyBorder="1" applyAlignment="1">
      <alignment horizontal="center"/>
    </xf>
    <xf numFmtId="10" fontId="8" fillId="8" borderId="9" xfId="3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8" fillId="0" borderId="8" xfId="0" applyFont="1" applyBorder="1"/>
    <xf numFmtId="0" fontId="6" fillId="0" borderId="8" xfId="0" applyFont="1" applyBorder="1" applyAlignment="1">
      <alignment horizontal="center" vertical="center"/>
    </xf>
    <xf numFmtId="0" fontId="8" fillId="5" borderId="8" xfId="0" applyFont="1" applyFill="1" applyBorder="1"/>
    <xf numFmtId="0" fontId="7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 vertical="center"/>
    </xf>
    <xf numFmtId="10" fontId="7" fillId="8" borderId="21" xfId="4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0" fontId="7" fillId="8" borderId="9" xfId="4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justify" vertical="center"/>
    </xf>
    <xf numFmtId="0" fontId="4" fillId="0" borderId="8" xfId="0" applyFont="1" applyBorder="1"/>
    <xf numFmtId="0" fontId="17" fillId="0" borderId="8" xfId="0" applyFont="1" applyBorder="1" applyAlignment="1">
      <alignment horizontal="justify" vertical="center"/>
    </xf>
    <xf numFmtId="0" fontId="8" fillId="0" borderId="8" xfId="0" applyFont="1" applyBorder="1" applyAlignment="1">
      <alignment horizontal="center"/>
    </xf>
    <xf numFmtId="0" fontId="13" fillId="0" borderId="9" xfId="0" applyFont="1" applyBorder="1" applyAlignment="1">
      <alignment horizontal="left"/>
    </xf>
    <xf numFmtId="0" fontId="8" fillId="0" borderId="9" xfId="0" applyFont="1" applyBorder="1"/>
    <xf numFmtId="0" fontId="13" fillId="0" borderId="8" xfId="0" applyFont="1" applyBorder="1"/>
    <xf numFmtId="0" fontId="8" fillId="0" borderId="8" xfId="0" applyFont="1" applyBorder="1" applyAlignment="1">
      <alignment horizontal="right"/>
    </xf>
    <xf numFmtId="0" fontId="13" fillId="0" borderId="9" xfId="0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wrapText="1"/>
    </xf>
    <xf numFmtId="0" fontId="13" fillId="0" borderId="9" xfId="0" applyFont="1" applyBorder="1"/>
    <xf numFmtId="0" fontId="13" fillId="0" borderId="8" xfId="0" applyFont="1" applyBorder="1" applyAlignment="1">
      <alignment horizontal="right"/>
    </xf>
    <xf numFmtId="0" fontId="8" fillId="0" borderId="8" xfId="0" applyFont="1" applyBorder="1" applyAlignment="1">
      <alignment horizontal="right" indent="1"/>
    </xf>
    <xf numFmtId="0" fontId="13" fillId="0" borderId="8" xfId="0" applyFont="1" applyBorder="1" applyAlignment="1">
      <alignment horizontal="right" indent="1"/>
    </xf>
    <xf numFmtId="0" fontId="20" fillId="0" borderId="8" xfId="0" applyFont="1" applyBorder="1"/>
    <xf numFmtId="0" fontId="9" fillId="5" borderId="8" xfId="0" applyFont="1" applyFill="1" applyBorder="1" applyAlignment="1">
      <alignment horizontal="center"/>
    </xf>
    <xf numFmtId="0" fontId="7" fillId="0" borderId="9" xfId="0" applyFont="1" applyBorder="1" applyAlignment="1">
      <alignment horizontal="left" vertical="top"/>
    </xf>
    <xf numFmtId="0" fontId="8" fillId="0" borderId="9" xfId="0" applyFont="1" applyBorder="1" applyAlignment="1">
      <alignment horizontal="left" wrapText="1"/>
    </xf>
    <xf numFmtId="0" fontId="13" fillId="10" borderId="9" xfId="0" applyFont="1" applyFill="1" applyBorder="1" applyAlignment="1">
      <alignment horizontal="center"/>
    </xf>
    <xf numFmtId="0" fontId="8" fillId="0" borderId="21" xfId="0" applyFont="1" applyBorder="1" applyAlignment="1">
      <alignment horizontal="left"/>
    </xf>
    <xf numFmtId="0" fontId="8" fillId="10" borderId="9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left"/>
    </xf>
    <xf numFmtId="0" fontId="8" fillId="8" borderId="9" xfId="0" applyFont="1" applyFill="1" applyBorder="1" applyAlignment="1">
      <alignment horizontal="center"/>
    </xf>
    <xf numFmtId="0" fontId="13" fillId="11" borderId="23" xfId="0" applyFont="1" applyFill="1" applyBorder="1" applyAlignment="1">
      <alignment horizontal="center" vertical="center" wrapText="1"/>
    </xf>
    <xf numFmtId="0" fontId="13" fillId="11" borderId="24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/>
    </xf>
    <xf numFmtId="0" fontId="13" fillId="13" borderId="9" xfId="0" applyFont="1" applyFill="1" applyBorder="1" applyAlignment="1">
      <alignment wrapText="1"/>
    </xf>
    <xf numFmtId="0" fontId="8" fillId="0" borderId="16" xfId="0" applyFont="1" applyBorder="1"/>
    <xf numFmtId="0" fontId="13" fillId="5" borderId="9" xfId="0" applyFont="1" applyFill="1" applyBorder="1" applyAlignment="1">
      <alignment wrapText="1"/>
    </xf>
    <xf numFmtId="0" fontId="13" fillId="10" borderId="9" xfId="0" applyFont="1" applyFill="1" applyBorder="1" applyAlignment="1">
      <alignment wrapText="1"/>
    </xf>
    <xf numFmtId="0" fontId="13" fillId="10" borderId="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top"/>
    </xf>
    <xf numFmtId="0" fontId="10" fillId="10" borderId="9" xfId="0" applyFont="1" applyFill="1" applyBorder="1" applyAlignment="1">
      <alignment horizontal="center" vertical="top"/>
    </xf>
    <xf numFmtId="44" fontId="8" fillId="0" borderId="9" xfId="0" applyNumberFormat="1" applyFont="1" applyBorder="1"/>
    <xf numFmtId="168" fontId="8" fillId="0" borderId="9" xfId="1" applyNumberFormat="1" applyFont="1" applyBorder="1"/>
    <xf numFmtId="168" fontId="8" fillId="0" borderId="8" xfId="0" applyNumberFormat="1" applyFont="1" applyBorder="1"/>
    <xf numFmtId="0" fontId="4" fillId="14" borderId="9" xfId="0" applyFont="1" applyFill="1" applyBorder="1" applyAlignment="1">
      <alignment horizontal="left"/>
    </xf>
    <xf numFmtId="0" fontId="4" fillId="15" borderId="9" xfId="0" applyFont="1" applyFill="1" applyBorder="1" applyAlignment="1">
      <alignment horizontal="left"/>
    </xf>
    <xf numFmtId="0" fontId="8" fillId="0" borderId="9" xfId="2" applyFont="1" applyBorder="1" applyAlignment="1">
      <alignment horizontal="center"/>
    </xf>
    <xf numFmtId="168" fontId="8" fillId="0" borderId="9" xfId="0" applyNumberFormat="1" applyFont="1" applyBorder="1" applyAlignment="1">
      <alignment horizontal="right"/>
    </xf>
    <xf numFmtId="44" fontId="8" fillId="0" borderId="9" xfId="1" applyFont="1" applyBorder="1" applyAlignment="1">
      <alignment horizontal="right"/>
    </xf>
    <xf numFmtId="0" fontId="6" fillId="16" borderId="0" xfId="0" applyFont="1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0" borderId="1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7" borderId="9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left" vertical="center"/>
    </xf>
    <xf numFmtId="2" fontId="6" fillId="0" borderId="9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left" vertical="center"/>
    </xf>
    <xf numFmtId="164" fontId="4" fillId="0" borderId="13" xfId="0" applyNumberFormat="1" applyFont="1" applyBorder="1" applyAlignment="1">
      <alignment horizontal="left" vertical="center"/>
    </xf>
    <xf numFmtId="44" fontId="6" fillId="0" borderId="17" xfId="1" applyFont="1" applyBorder="1"/>
    <xf numFmtId="44" fontId="6" fillId="4" borderId="9" xfId="1" applyFont="1" applyFill="1" applyBorder="1"/>
    <xf numFmtId="0" fontId="8" fillId="0" borderId="8" xfId="0" applyFont="1" applyBorder="1" applyAlignment="1">
      <alignment horizontal="left"/>
    </xf>
    <xf numFmtId="44" fontId="13" fillId="0" borderId="8" xfId="0" applyNumberFormat="1" applyFont="1" applyBorder="1"/>
    <xf numFmtId="9" fontId="8" fillId="10" borderId="9" xfId="4" applyFont="1" applyFill="1" applyBorder="1" applyAlignment="1">
      <alignment horizontal="center"/>
    </xf>
    <xf numFmtId="0" fontId="7" fillId="0" borderId="9" xfId="0" applyFont="1" applyBorder="1"/>
    <xf numFmtId="0" fontId="7" fillId="7" borderId="9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4" fillId="15" borderId="9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168" fontId="8" fillId="0" borderId="9" xfId="1" applyNumberFormat="1" applyFont="1" applyBorder="1" applyAlignment="1">
      <alignment horizontal="center"/>
    </xf>
    <xf numFmtId="0" fontId="16" fillId="5" borderId="9" xfId="0" quotePrefix="1" applyFont="1" applyFill="1" applyBorder="1" applyAlignment="1">
      <alignment wrapText="1"/>
    </xf>
    <xf numFmtId="0" fontId="16" fillId="9" borderId="9" xfId="0" quotePrefix="1" applyFont="1" applyFill="1" applyBorder="1"/>
    <xf numFmtId="0" fontId="7" fillId="10" borderId="9" xfId="0" applyFont="1" applyFill="1" applyBorder="1"/>
    <xf numFmtId="44" fontId="8" fillId="0" borderId="9" xfId="1" applyFont="1" applyFill="1" applyBorder="1" applyAlignment="1">
      <alignment horizontal="right"/>
    </xf>
    <xf numFmtId="44" fontId="8" fillId="0" borderId="8" xfId="1" applyFont="1" applyBorder="1"/>
    <xf numFmtId="44" fontId="8" fillId="0" borderId="8" xfId="0" applyNumberFormat="1" applyFont="1" applyBorder="1"/>
    <xf numFmtId="164" fontId="4" fillId="0" borderId="8" xfId="0" applyNumberFormat="1" applyFont="1" applyBorder="1" applyAlignment="1">
      <alignment horizontal="left"/>
    </xf>
    <xf numFmtId="164" fontId="6" fillId="0" borderId="8" xfId="0" applyNumberFormat="1" applyFont="1" applyBorder="1"/>
    <xf numFmtId="0" fontId="13" fillId="0" borderId="0" xfId="0" applyFont="1"/>
    <xf numFmtId="44" fontId="8" fillId="10" borderId="9" xfId="1" applyFont="1" applyFill="1" applyBorder="1" applyAlignment="1">
      <alignment horizontal="center"/>
    </xf>
    <xf numFmtId="44" fontId="8" fillId="0" borderId="8" xfId="1" applyFont="1" applyBorder="1" applyAlignment="1">
      <alignment horizontal="right"/>
    </xf>
    <xf numFmtId="44" fontId="8" fillId="0" borderId="9" xfId="1" applyFont="1" applyBorder="1" applyAlignment="1">
      <alignment horizontal="right" vertical="center"/>
    </xf>
    <xf numFmtId="171" fontId="8" fillId="10" borderId="9" xfId="4" applyNumberFormat="1" applyFont="1" applyFill="1" applyBorder="1" applyAlignment="1">
      <alignment horizontal="center"/>
    </xf>
    <xf numFmtId="164" fontId="6" fillId="0" borderId="8" xfId="0" applyNumberFormat="1" applyFont="1" applyBorder="1" applyAlignment="1">
      <alignment horizontal="left"/>
    </xf>
    <xf numFmtId="44" fontId="4" fillId="0" borderId="8" xfId="0" applyNumberFormat="1" applyFont="1" applyBorder="1" applyAlignment="1">
      <alignment horizontal="left" vertical="center"/>
    </xf>
    <xf numFmtId="44" fontId="8" fillId="0" borderId="8" xfId="0" applyNumberFormat="1" applyFont="1" applyBorder="1" applyAlignment="1">
      <alignment horizontal="right"/>
    </xf>
    <xf numFmtId="0" fontId="7" fillId="0" borderId="0" xfId="0" applyFont="1"/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horizontal="left" vertical="top"/>
    </xf>
    <xf numFmtId="168" fontId="8" fillId="0" borderId="8" xfId="0" applyNumberFormat="1" applyFont="1" applyBorder="1" applyAlignment="1">
      <alignment horizontal="center"/>
    </xf>
    <xf numFmtId="0" fontId="8" fillId="5" borderId="9" xfId="0" applyFont="1" applyFill="1" applyBorder="1" applyAlignment="1">
      <alignment horizontal="left"/>
    </xf>
    <xf numFmtId="44" fontId="8" fillId="5" borderId="9" xfId="0" applyNumberFormat="1" applyFont="1" applyFill="1" applyBorder="1" applyAlignment="1">
      <alignment horizontal="right"/>
    </xf>
    <xf numFmtId="0" fontId="6" fillId="8" borderId="9" xfId="0" applyFont="1" applyFill="1" applyBorder="1" applyAlignment="1">
      <alignment horizontal="left" vertical="top"/>
    </xf>
    <xf numFmtId="168" fontId="8" fillId="8" borderId="9" xfId="0" applyNumberFormat="1" applyFont="1" applyFill="1" applyBorder="1" applyAlignment="1">
      <alignment horizontal="right"/>
    </xf>
    <xf numFmtId="0" fontId="13" fillId="0" borderId="8" xfId="0" applyFont="1" applyBorder="1" applyAlignment="1">
      <alignment wrapText="1"/>
    </xf>
    <xf numFmtId="0" fontId="7" fillId="18" borderId="9" xfId="0" applyFont="1" applyFill="1" applyBorder="1" applyAlignment="1">
      <alignment horizontal="center"/>
    </xf>
    <xf numFmtId="44" fontId="7" fillId="0" borderId="8" xfId="0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168" fontId="8" fillId="0" borderId="9" xfId="1" applyNumberFormat="1" applyFont="1" applyBorder="1" applyAlignment="1">
      <alignment horizontal="right" indent="1"/>
    </xf>
    <xf numFmtId="168" fontId="13" fillId="9" borderId="9" xfId="1" applyNumberFormat="1" applyFont="1" applyFill="1" applyBorder="1" applyAlignment="1">
      <alignment horizontal="right"/>
    </xf>
    <xf numFmtId="168" fontId="13" fillId="0" borderId="9" xfId="1" applyNumberFormat="1" applyFont="1" applyBorder="1" applyAlignment="1">
      <alignment horizontal="right" indent="1"/>
    </xf>
    <xf numFmtId="168" fontId="8" fillId="5" borderId="9" xfId="1" applyNumberFormat="1" applyFont="1" applyFill="1" applyBorder="1" applyAlignment="1">
      <alignment horizontal="right" indent="1"/>
    </xf>
    <xf numFmtId="168" fontId="8" fillId="0" borderId="8" xfId="1" applyNumberFormat="1" applyFont="1" applyBorder="1" applyAlignment="1">
      <alignment horizontal="right" indent="1"/>
    </xf>
    <xf numFmtId="168" fontId="8" fillId="0" borderId="8" xfId="1" applyNumberFormat="1" applyFont="1" applyBorder="1"/>
    <xf numFmtId="168" fontId="18" fillId="0" borderId="9" xfId="1" applyNumberFormat="1" applyFont="1" applyBorder="1" applyAlignment="1">
      <alignment horizontal="right" indent="1"/>
    </xf>
    <xf numFmtId="168" fontId="8" fillId="0" borderId="9" xfId="1" applyNumberFormat="1" applyFont="1" applyBorder="1" applyAlignment="1">
      <alignment horizontal="right"/>
    </xf>
    <xf numFmtId="168" fontId="7" fillId="10" borderId="9" xfId="1" applyNumberFormat="1" applyFont="1" applyFill="1" applyBorder="1" applyAlignment="1">
      <alignment horizontal="right"/>
    </xf>
    <xf numFmtId="168" fontId="8" fillId="9" borderId="9" xfId="1" applyNumberFormat="1" applyFont="1" applyFill="1" applyBorder="1" applyAlignment="1">
      <alignment horizontal="right"/>
    </xf>
    <xf numFmtId="168" fontId="21" fillId="0" borderId="9" xfId="1" applyNumberFormat="1" applyFont="1" applyBorder="1" applyAlignment="1">
      <alignment horizontal="right"/>
    </xf>
    <xf numFmtId="168" fontId="18" fillId="0" borderId="9" xfId="1" applyNumberFormat="1" applyFont="1" applyBorder="1" applyAlignment="1">
      <alignment horizontal="right"/>
    </xf>
    <xf numFmtId="168" fontId="8" fillId="12" borderId="9" xfId="1" applyNumberFormat="1" applyFont="1" applyFill="1" applyBorder="1" applyAlignment="1">
      <alignment horizontal="right"/>
    </xf>
    <xf numFmtId="168" fontId="8" fillId="7" borderId="9" xfId="1" applyNumberFormat="1" applyFont="1" applyFill="1" applyBorder="1" applyAlignment="1">
      <alignment horizontal="right"/>
    </xf>
    <xf numFmtId="168" fontId="8" fillId="7" borderId="9" xfId="1" applyNumberFormat="1" applyFont="1" applyFill="1" applyBorder="1"/>
    <xf numFmtId="0" fontId="13" fillId="9" borderId="9" xfId="0" quotePrefix="1" applyFont="1" applyFill="1" applyBorder="1"/>
    <xf numFmtId="0" fontId="13" fillId="12" borderId="9" xfId="0" applyFont="1" applyFill="1" applyBorder="1"/>
    <xf numFmtId="0" fontId="13" fillId="9" borderId="9" xfId="0" applyFont="1" applyFill="1" applyBorder="1"/>
    <xf numFmtId="168" fontId="6" fillId="0" borderId="9" xfId="0" applyNumberFormat="1" applyFont="1" applyBorder="1" applyAlignment="1">
      <alignment horizontal="right" indent="1"/>
    </xf>
    <xf numFmtId="9" fontId="8" fillId="8" borderId="9" xfId="4" applyFont="1" applyFill="1" applyBorder="1"/>
    <xf numFmtId="0" fontId="7" fillId="0" borderId="0" xfId="0" applyFont="1" applyAlignment="1">
      <alignment horizontal="centerContinuous"/>
    </xf>
    <xf numFmtId="1" fontId="8" fillId="0" borderId="0" xfId="0" applyNumberFormat="1" applyFont="1"/>
    <xf numFmtId="9" fontId="8" fillId="0" borderId="0" xfId="4" applyFont="1"/>
    <xf numFmtId="168" fontId="8" fillId="10" borderId="9" xfId="1" applyNumberFormat="1" applyFont="1" applyFill="1" applyBorder="1" applyAlignment="1">
      <alignment horizontal="right"/>
    </xf>
    <xf numFmtId="168" fontId="8" fillId="10" borderId="9" xfId="1" applyNumberFormat="1" applyFont="1" applyFill="1" applyBorder="1"/>
    <xf numFmtId="168" fontId="8" fillId="10" borderId="9" xfId="0" applyNumberFormat="1" applyFont="1" applyFill="1" applyBorder="1" applyAlignment="1">
      <alignment horizontal="right"/>
    </xf>
    <xf numFmtId="0" fontId="8" fillId="0" borderId="9" xfId="0" applyFont="1" applyBorder="1" applyAlignment="1">
      <alignment horizontal="center"/>
    </xf>
    <xf numFmtId="168" fontId="6" fillId="8" borderId="9" xfId="1" applyNumberFormat="1" applyFont="1" applyFill="1" applyBorder="1" applyAlignment="1">
      <alignment horizontal="center" vertical="top"/>
    </xf>
    <xf numFmtId="168" fontId="6" fillId="8" borderId="9" xfId="0" applyNumberFormat="1" applyFont="1" applyFill="1" applyBorder="1" applyAlignment="1">
      <alignment horizontal="center"/>
    </xf>
    <xf numFmtId="168" fontId="8" fillId="5" borderId="9" xfId="0" applyNumberFormat="1" applyFont="1" applyFill="1" applyBorder="1" applyAlignment="1">
      <alignment horizontal="right"/>
    </xf>
    <xf numFmtId="168" fontId="6" fillId="0" borderId="0" xfId="0" applyNumberFormat="1" applyFont="1"/>
    <xf numFmtId="168" fontId="8" fillId="0" borderId="9" xfId="1" applyNumberFormat="1" applyFont="1" applyFill="1" applyBorder="1" applyAlignment="1">
      <alignment horizontal="right"/>
    </xf>
    <xf numFmtId="168" fontId="8" fillId="0" borderId="21" xfId="0" applyNumberFormat="1" applyFont="1" applyBorder="1" applyAlignment="1">
      <alignment horizontal="right"/>
    </xf>
    <xf numFmtId="168" fontId="6" fillId="0" borderId="9" xfId="1" applyNumberFormat="1" applyFont="1" applyBorder="1" applyAlignment="1">
      <alignment horizontal="center"/>
    </xf>
    <xf numFmtId="168" fontId="7" fillId="17" borderId="9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6" fillId="0" borderId="9" xfId="0" applyNumberFormat="1" applyFont="1" applyBorder="1" applyAlignment="1">
      <alignment horizontal="center"/>
    </xf>
    <xf numFmtId="0" fontId="8" fillId="3" borderId="9" xfId="0" applyFont="1" applyFill="1" applyBorder="1"/>
    <xf numFmtId="168" fontId="6" fillId="0" borderId="9" xfId="0" applyNumberFormat="1" applyFont="1" applyBorder="1" applyAlignment="1">
      <alignment horizontal="center"/>
    </xf>
    <xf numFmtId="8" fontId="8" fillId="0" borderId="9" xfId="1" applyNumberFormat="1" applyFont="1" applyBorder="1" applyAlignment="1">
      <alignment horizontal="right"/>
    </xf>
    <xf numFmtId="168" fontId="7" fillId="5" borderId="9" xfId="1" applyNumberFormat="1" applyFont="1" applyFill="1" applyBorder="1" applyAlignment="1">
      <alignment horizontal="right" indent="1"/>
    </xf>
    <xf numFmtId="4" fontId="8" fillId="0" borderId="9" xfId="2" applyNumberFormat="1" applyFont="1" applyBorder="1" applyAlignment="1">
      <alignment horizontal="right"/>
    </xf>
    <xf numFmtId="44" fontId="6" fillId="0" borderId="9" xfId="1" applyFont="1" applyFill="1" applyBorder="1"/>
    <xf numFmtId="168" fontId="6" fillId="0" borderId="9" xfId="1" applyNumberFormat="1" applyFont="1" applyFill="1" applyBorder="1"/>
    <xf numFmtId="164" fontId="4" fillId="0" borderId="2" xfId="0" applyNumberFormat="1" applyFont="1" applyBorder="1" applyAlignment="1">
      <alignment horizontal="left" vertical="center"/>
    </xf>
    <xf numFmtId="164" fontId="4" fillId="0" borderId="17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6" fillId="0" borderId="3" xfId="0" applyNumberFormat="1" applyFont="1" applyBorder="1"/>
    <xf numFmtId="164" fontId="4" fillId="0" borderId="25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172" fontId="8" fillId="0" borderId="9" xfId="4" applyNumberFormat="1" applyFont="1" applyBorder="1" applyAlignment="1">
      <alignment horizontal="center"/>
    </xf>
    <xf numFmtId="10" fontId="8" fillId="0" borderId="9" xfId="0" applyNumberFormat="1" applyFont="1" applyBorder="1" applyAlignment="1">
      <alignment horizontal="center"/>
    </xf>
    <xf numFmtId="9" fontId="13" fillId="0" borderId="0" xfId="0" applyNumberFormat="1" applyFont="1" applyAlignment="1">
      <alignment horizontal="centerContinuous"/>
    </xf>
    <xf numFmtId="0" fontId="8" fillId="0" borderId="0" xfId="0" quotePrefix="1" applyFont="1"/>
    <xf numFmtId="0" fontId="8" fillId="0" borderId="8" xfId="0" quotePrefix="1" applyFont="1" applyBorder="1"/>
    <xf numFmtId="168" fontId="8" fillId="0" borderId="0" xfId="1" applyNumberFormat="1" applyFont="1"/>
    <xf numFmtId="168" fontId="6" fillId="0" borderId="0" xfId="1" applyNumberFormat="1" applyFont="1"/>
    <xf numFmtId="0" fontId="0" fillId="0" borderId="8" xfId="0" applyBorder="1"/>
    <xf numFmtId="9" fontId="0" fillId="0" borderId="8" xfId="0" applyNumberFormat="1" applyBorder="1"/>
    <xf numFmtId="168" fontId="0" fillId="0" borderId="8" xfId="0" applyNumberFormat="1" applyBorder="1"/>
    <xf numFmtId="10" fontId="0" fillId="0" borderId="8" xfId="0" applyNumberFormat="1" applyBorder="1"/>
    <xf numFmtId="168" fontId="0" fillId="0" borderId="10" xfId="0" applyNumberFormat="1" applyBorder="1"/>
    <xf numFmtId="0" fontId="22" fillId="19" borderId="16" xfId="0" applyFont="1" applyFill="1" applyBorder="1" applyAlignment="1">
      <alignment horizontal="left"/>
    </xf>
    <xf numFmtId="0" fontId="22" fillId="19" borderId="27" xfId="0" applyFont="1" applyFill="1" applyBorder="1" applyAlignment="1">
      <alignment horizontal="left"/>
    </xf>
    <xf numFmtId="0" fontId="0" fillId="0" borderId="18" xfId="0" applyBorder="1"/>
    <xf numFmtId="0" fontId="23" fillId="20" borderId="8" xfId="0" applyFont="1" applyFill="1" applyBorder="1" applyAlignment="1">
      <alignment horizontal="left"/>
    </xf>
    <xf numFmtId="0" fontId="24" fillId="20" borderId="18" xfId="0" applyFont="1" applyFill="1" applyBorder="1" applyAlignment="1">
      <alignment horizontal="left"/>
    </xf>
    <xf numFmtId="0" fontId="23" fillId="20" borderId="10" xfId="0" applyFont="1" applyFill="1" applyBorder="1" applyAlignment="1">
      <alignment horizontal="left"/>
    </xf>
    <xf numFmtId="0" fontId="25" fillId="19" borderId="27" xfId="0" applyFont="1" applyFill="1" applyBorder="1" applyAlignment="1">
      <alignment horizontal="right"/>
    </xf>
    <xf numFmtId="0" fontId="25" fillId="19" borderId="16" xfId="0" applyFont="1" applyFill="1" applyBorder="1" applyAlignment="1">
      <alignment horizontal="right"/>
    </xf>
    <xf numFmtId="9" fontId="25" fillId="19" borderId="16" xfId="0" applyNumberFormat="1" applyFont="1" applyFill="1" applyBorder="1" applyAlignment="1">
      <alignment horizontal="right"/>
    </xf>
    <xf numFmtId="168" fontId="0" fillId="21" borderId="8" xfId="0" applyNumberFormat="1" applyFill="1" applyBorder="1"/>
    <xf numFmtId="0" fontId="26" fillId="0" borderId="8" xfId="0" applyFont="1" applyBorder="1" applyAlignment="1">
      <alignment vertical="top" wrapText="1"/>
    </xf>
    <xf numFmtId="173" fontId="8" fillId="0" borderId="0" xfId="0" applyNumberFormat="1" applyFont="1"/>
    <xf numFmtId="174" fontId="8" fillId="0" borderId="0" xfId="0" applyNumberFormat="1" applyFont="1"/>
    <xf numFmtId="9" fontId="4" fillId="0" borderId="8" xfId="0" quotePrefix="1" applyNumberFormat="1" applyFont="1" applyBorder="1" applyAlignment="1">
      <alignment horizontal="justify" vertical="center"/>
    </xf>
    <xf numFmtId="0" fontId="4" fillId="0" borderId="8" xfId="0" quotePrefix="1" applyFont="1" applyBorder="1" applyAlignment="1">
      <alignment horizontal="justify" vertical="center"/>
    </xf>
    <xf numFmtId="9" fontId="0" fillId="21" borderId="8" xfId="0" applyNumberFormat="1" applyFill="1" applyBorder="1"/>
    <xf numFmtId="0" fontId="7" fillId="0" borderId="3" xfId="0" applyFont="1" applyBorder="1" applyAlignment="1">
      <alignment horizontal="center"/>
    </xf>
    <xf numFmtId="0" fontId="8" fillId="0" borderId="6" xfId="0" applyFont="1" applyBorder="1"/>
    <xf numFmtId="0" fontId="8" fillId="0" borderId="4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7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5" xfId="0" applyFont="1" applyBorder="1" applyAlignment="1">
      <alignment horizontal="center"/>
    </xf>
    <xf numFmtId="168" fontId="6" fillId="0" borderId="9" xfId="1" applyNumberFormat="1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9" fontId="6" fillId="0" borderId="13" xfId="4" applyFont="1" applyFill="1" applyBorder="1" applyAlignment="1">
      <alignment horizontal="center" vertical="center"/>
    </xf>
    <xf numFmtId="9" fontId="6" fillId="0" borderId="21" xfId="4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8" fontId="0" fillId="0" borderId="9" xfId="1" applyNumberFormat="1" applyFont="1" applyFill="1" applyBorder="1" applyAlignment="1">
      <alignment horizontal="center" vertical="center"/>
    </xf>
    <xf numFmtId="9" fontId="6" fillId="0" borderId="9" xfId="4" applyFont="1" applyFill="1" applyBorder="1" applyAlignment="1">
      <alignment horizontal="center" vertical="center"/>
    </xf>
    <xf numFmtId="9" fontId="6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6" fillId="0" borderId="1" xfId="0" applyFont="1" applyBorder="1" applyAlignment="1">
      <alignment horizontal="center" vertical="center"/>
    </xf>
    <xf numFmtId="44" fontId="6" fillId="0" borderId="17" xfId="1" applyFont="1" applyBorder="1" applyAlignment="1">
      <alignment horizontal="center"/>
    </xf>
    <xf numFmtId="44" fontId="6" fillId="0" borderId="18" xfId="1" applyFont="1" applyBorder="1" applyAlignment="1">
      <alignment horizontal="center"/>
    </xf>
    <xf numFmtId="44" fontId="6" fillId="0" borderId="19" xfId="1" applyFont="1" applyBorder="1" applyAlignment="1">
      <alignment horizontal="center"/>
    </xf>
    <xf numFmtId="44" fontId="6" fillId="4" borderId="17" xfId="1" applyFont="1" applyFill="1" applyBorder="1" applyAlignment="1">
      <alignment horizontal="center"/>
    </xf>
    <xf numFmtId="44" fontId="6" fillId="4" borderId="18" xfId="1" applyFont="1" applyFill="1" applyBorder="1" applyAlignment="1">
      <alignment horizontal="center"/>
    </xf>
    <xf numFmtId="44" fontId="6" fillId="4" borderId="19" xfId="1" applyFont="1" applyFill="1" applyBorder="1" applyAlignment="1">
      <alignment horizontal="center"/>
    </xf>
    <xf numFmtId="44" fontId="6" fillId="0" borderId="9" xfId="1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/>
    </xf>
    <xf numFmtId="44" fontId="7" fillId="0" borderId="13" xfId="1" applyFont="1" applyBorder="1" applyAlignment="1">
      <alignment horizontal="center" vertical="center" wrapText="1"/>
    </xf>
    <xf numFmtId="44" fontId="7" fillId="0" borderId="21" xfId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/>
    </xf>
    <xf numFmtId="10" fontId="6" fillId="0" borderId="9" xfId="4" applyNumberFormat="1" applyFont="1" applyBorder="1" applyAlignment="1">
      <alignment horizontal="center"/>
    </xf>
    <xf numFmtId="0" fontId="11" fillId="5" borderId="8" xfId="0" applyFont="1" applyFill="1" applyBorder="1" applyAlignment="1">
      <alignment horizontal="center" wrapText="1"/>
    </xf>
    <xf numFmtId="0" fontId="7" fillId="0" borderId="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8" fillId="7" borderId="12" xfId="0" applyFont="1" applyFill="1" applyBorder="1"/>
    <xf numFmtId="0" fontId="7" fillId="5" borderId="1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17" borderId="16" xfId="0" applyFont="1" applyFill="1" applyBorder="1" applyAlignment="1">
      <alignment horizontal="center"/>
    </xf>
    <xf numFmtId="0" fontId="13" fillId="13" borderId="10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6" fillId="9" borderId="9" xfId="0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13" fillId="0" borderId="8" xfId="2" applyFont="1" applyAlignment="1">
      <alignment horizontal="center"/>
    </xf>
    <xf numFmtId="0" fontId="13" fillId="0" borderId="16" xfId="2" applyFont="1" applyBorder="1" applyAlignment="1">
      <alignment horizontal="center"/>
    </xf>
  </cellXfs>
  <cellStyles count="9">
    <cellStyle name="Millares 2" xfId="7" xr:uid="{F5A1B905-CE19-4C4A-AC88-C001C3DB0C4C}"/>
    <cellStyle name="Millares 3" xfId="6" xr:uid="{85D130A0-E565-472C-8368-3BAC61BB91D2}"/>
    <cellStyle name="Moneda" xfId="1" builtinId="4"/>
    <cellStyle name="Normal" xfId="0" builtinId="0"/>
    <cellStyle name="Normal 2" xfId="2" xr:uid="{4C5BA611-CC88-40F3-A4CF-8AF509D15663}"/>
    <cellStyle name="Normal 3" xfId="5" xr:uid="{6BBCD77B-56A9-4866-94DB-767787E63817}"/>
    <cellStyle name="Porcentaje" xfId="4" builtinId="5"/>
    <cellStyle name="Porcentaje 2" xfId="3" xr:uid="{BCC3BAA9-EBC6-4A31-AAF9-9F1657190BAA}"/>
    <cellStyle name="Porcentaje 3" xfId="8" xr:uid="{00285BFA-E45B-4169-BBFA-99675DF910E0}"/>
  </cellStyles>
  <dxfs count="0"/>
  <tableStyles count="0" defaultTableStyle="TableStyleMedium2" defaultPivotStyle="PivotStyleLight16"/>
  <colors>
    <mruColors>
      <color rgb="FFEFD6B5"/>
      <color rgb="FFDEBC9A"/>
      <color rgb="FFFFE497"/>
      <color rgb="FFBEA27C"/>
      <color rgb="FFF6E8D6"/>
      <color rgb="FFF8E231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Tir Ind - Precio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Tir Ind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'ANÁLISIS-SENSIBILIDAD'!$E$3:$I$3</c:f>
              <c:strCache>
                <c:ptCount val="5"/>
                <c:pt idx="0">
                  <c:v>20%</c:v>
                </c:pt>
                <c:pt idx="1">
                  <c:v>10%</c:v>
                </c:pt>
                <c:pt idx="2">
                  <c:v>Inicial</c:v>
                </c:pt>
                <c:pt idx="3">
                  <c:v>Critico</c:v>
                </c:pt>
                <c:pt idx="4">
                  <c:v>-10%</c:v>
                </c:pt>
              </c:strCache>
            </c:strRef>
          </c:cat>
          <c:val>
            <c:numRef>
              <c:f>'ANÁLISIS-SENSIBILIDAD'!$E$8:$I$8</c:f>
              <c:numCache>
                <c:formatCode>0.00%</c:formatCode>
                <c:ptCount val="5"/>
                <c:pt idx="0">
                  <c:v>296.04509372402202</c:v>
                </c:pt>
                <c:pt idx="1">
                  <c:v>2.1462434418181102</c:v>
                </c:pt>
                <c:pt idx="2">
                  <c:v>0.412049650321344</c:v>
                </c:pt>
                <c:pt idx="3">
                  <c:v>0.15833392263631499</c:v>
                </c:pt>
                <c:pt idx="4">
                  <c:v>-0.14785462692217199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3-4E4A-BA1A-537917337D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04412192"/>
        <c:axId val="1204410272"/>
      </c:lineChart>
      <c:catAx>
        <c:axId val="120441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4410272"/>
        <c:crosses val="autoZero"/>
        <c:auto val="1"/>
        <c:lblAlgn val="ctr"/>
        <c:lblOffset val="100"/>
        <c:noMultiLvlLbl val="0"/>
      </c:catAx>
      <c:valAx>
        <c:axId val="12044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441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VPN - Precio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'ANÁLISIS-SENSIBILIDAD'!$E$3:$I$3</c:f>
              <c:strCache>
                <c:ptCount val="5"/>
                <c:pt idx="0">
                  <c:v>20%</c:v>
                </c:pt>
                <c:pt idx="1">
                  <c:v>10%</c:v>
                </c:pt>
                <c:pt idx="2">
                  <c:v>Inicial</c:v>
                </c:pt>
                <c:pt idx="3">
                  <c:v>Critico</c:v>
                </c:pt>
                <c:pt idx="4">
                  <c:v>-10%</c:v>
                </c:pt>
              </c:strCache>
            </c:strRef>
          </c:cat>
          <c:val>
            <c:numRef>
              <c:f>'ANÁLISIS-SENSIBILIDAD'!$E$9:$I$9</c:f>
              <c:numCache>
                <c:formatCode>_-"$"\ * #,##0_-;\-"$"\ * #,##0_-;_-"$"\ * "-"??_-;_-@_-</c:formatCode>
                <c:ptCount val="5"/>
                <c:pt idx="0">
                  <c:v>97648997002.357407</c:v>
                </c:pt>
                <c:pt idx="1">
                  <c:v>56768547570.623901</c:v>
                </c:pt>
                <c:pt idx="2">
                  <c:v>15888098138.8904</c:v>
                </c:pt>
                <c:pt idx="3">
                  <c:v>6.8034231662750201E-4</c:v>
                </c:pt>
                <c:pt idx="4">
                  <c:v>-24992351292.843201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7-4D4A-B178-DEB88250A7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666800"/>
        <c:axId val="98294224"/>
      </c:lineChart>
      <c:catAx>
        <c:axId val="1006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294224"/>
        <c:crosses val="autoZero"/>
        <c:auto val="1"/>
        <c:lblAlgn val="ctr"/>
        <c:lblOffset val="100"/>
        <c:noMultiLvlLbl val="0"/>
      </c:catAx>
      <c:valAx>
        <c:axId val="982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6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VPN </a:t>
            </a: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-  %Utilidad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326765385128479"/>
                      <c:h val="0.16397515750993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506-4CED-A5BF-1A4958A88B2F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759761976124847"/>
                      <c:h val="0.16397515750993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506-4CED-A5BF-1A4958A88B2F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59473339836025"/>
                      <c:h val="0.16397515750993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506-4CED-A5BF-1A4958A88B2F}"/>
                </c:ext>
              </c:extLst>
            </c:dLbl>
            <c:dLbl>
              <c:idx val="3"/>
              <c:layout>
                <c:manualLayout>
                  <c:x val="-6.8740828521284755E-2"/>
                  <c:y val="-7.521514537237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06-4CED-A5BF-1A4958A88B2F}"/>
                </c:ext>
              </c:extLst>
            </c:dLbl>
            <c:dLbl>
              <c:idx val="4"/>
              <c:layout>
                <c:manualLayout>
                  <c:x val="-1.7324818620563402E-2"/>
                  <c:y val="-0.107070485807497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092614248976812"/>
                      <c:h val="0.16397515750993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506-4CED-A5BF-1A4958A88B2F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824600612962298"/>
                      <c:h val="0.16397515750993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506-4CED-A5BF-1A4958A88B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'ANÁLISIS-SENSIBILIDAD'!$E$37:$J$37</c:f>
              <c:strCache>
                <c:ptCount val="6"/>
                <c:pt idx="0">
                  <c:v>15%</c:v>
                </c:pt>
                <c:pt idx="1">
                  <c:v>10%</c:v>
                </c:pt>
                <c:pt idx="2">
                  <c:v>% Inicial</c:v>
                </c:pt>
                <c:pt idx="3">
                  <c:v>% Critico</c:v>
                </c:pt>
                <c:pt idx="4">
                  <c:v>-10%</c:v>
                </c:pt>
                <c:pt idx="5">
                  <c:v>-15%</c:v>
                </c:pt>
              </c:strCache>
            </c:strRef>
          </c:cat>
          <c:val>
            <c:numRef>
              <c:f>'ANÁLISIS-SENSIBILIDAD'!$E$42:$J$42</c:f>
              <c:numCache>
                <c:formatCode>_-"$"\ * #,##0_-;\-"$"\ * #,##0_-;_-"$"\ * "-"??_-;_-@_-</c:formatCode>
                <c:ptCount val="6"/>
                <c:pt idx="0">
                  <c:v>52401298421.510002</c:v>
                </c:pt>
                <c:pt idx="1">
                  <c:v>40230231660.636803</c:v>
                </c:pt>
                <c:pt idx="2">
                  <c:v>15888098138.8904</c:v>
                </c:pt>
                <c:pt idx="3">
                  <c:v>3.4864991903305101E-5</c:v>
                </c:pt>
                <c:pt idx="4">
                  <c:v>-8454035382.8560305</c:v>
                </c:pt>
                <c:pt idx="5">
                  <c:v>-20625102143.729198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1-43C8-90EA-31E35F66DF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8293744"/>
        <c:axId val="98295184"/>
      </c:lineChart>
      <c:catAx>
        <c:axId val="982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295184"/>
        <c:crosses val="autoZero"/>
        <c:auto val="1"/>
        <c:lblAlgn val="ctr"/>
        <c:lblOffset val="100"/>
        <c:noMultiLvlLbl val="0"/>
      </c:catAx>
      <c:valAx>
        <c:axId val="982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29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%Utilidad</a:t>
            </a:r>
            <a:r>
              <a:rPr lang="en-US" baseline="0"/>
              <a:t> - </a:t>
            </a:r>
            <a:r>
              <a:rPr lang="en-US"/>
              <a:t>Tir 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Tir Ind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'ANÁLISIS-SENSIBILIDAD'!$E$37:$J$37</c:f>
              <c:strCache>
                <c:ptCount val="6"/>
                <c:pt idx="0">
                  <c:v>15%</c:v>
                </c:pt>
                <c:pt idx="1">
                  <c:v>10%</c:v>
                </c:pt>
                <c:pt idx="2">
                  <c:v>% Inicial</c:v>
                </c:pt>
                <c:pt idx="3">
                  <c:v>% Critico</c:v>
                </c:pt>
                <c:pt idx="4">
                  <c:v>-10%</c:v>
                </c:pt>
                <c:pt idx="5">
                  <c:v>-15%</c:v>
                </c:pt>
              </c:strCache>
            </c:strRef>
          </c:cat>
          <c:val>
            <c:numRef>
              <c:f>'ANÁLISIS-SENSIBILIDAD'!$E$41:$J$41</c:f>
              <c:numCache>
                <c:formatCode>0.00%</c:formatCode>
                <c:ptCount val="6"/>
                <c:pt idx="0">
                  <c:v>227.23277199417399</c:v>
                </c:pt>
                <c:pt idx="1">
                  <c:v>3.49245204207749</c:v>
                </c:pt>
                <c:pt idx="2">
                  <c:v>0.412049650321344</c:v>
                </c:pt>
                <c:pt idx="3">
                  <c:v>0.158333922636306</c:v>
                </c:pt>
                <c:pt idx="4">
                  <c:v>7.6116201397781899E-2</c:v>
                </c:pt>
                <c:pt idx="5">
                  <c:v>-1.15268872960231E-2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5-4403-8B9A-E21D146314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041024"/>
        <c:axId val="191037664"/>
      </c:lineChart>
      <c:catAx>
        <c:axId val="1910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037664"/>
        <c:crosses val="autoZero"/>
        <c:auto val="1"/>
        <c:lblAlgn val="ctr"/>
        <c:lblOffset val="100"/>
        <c:noMultiLvlLbl val="0"/>
      </c:catAx>
      <c:valAx>
        <c:axId val="1910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0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0</xdr:row>
      <xdr:rowOff>114300</xdr:rowOff>
    </xdr:from>
    <xdr:ext cx="1657350" cy="8667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1324</xdr:colOff>
      <xdr:row>2</xdr:row>
      <xdr:rowOff>62801</xdr:rowOff>
    </xdr:from>
    <xdr:to>
      <xdr:col>24</xdr:col>
      <xdr:colOff>429149</xdr:colOff>
      <xdr:row>9</xdr:row>
      <xdr:rowOff>96131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146FE-B1FD-C002-A5A3-136054F70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6461" b="37534"/>
        <a:stretch>
          <a:fillRect/>
        </a:stretch>
      </xdr:blipFill>
      <xdr:spPr>
        <a:xfrm>
          <a:off x="14895912" y="460548"/>
          <a:ext cx="2531698" cy="1425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699797</xdr:colOff>
      <xdr:row>0</xdr:row>
      <xdr:rowOff>68038</xdr:rowOff>
    </xdr:from>
    <xdr:to>
      <xdr:col>2</xdr:col>
      <xdr:colOff>2099387</xdr:colOff>
      <xdr:row>3</xdr:row>
      <xdr:rowOff>140255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E9A72D-C12F-4486-8280-390244C05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6461" b="37534"/>
        <a:stretch>
          <a:fillRect/>
        </a:stretch>
      </xdr:blipFill>
      <xdr:spPr>
        <a:xfrm>
          <a:off x="1049695" y="68038"/>
          <a:ext cx="1399590" cy="6845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816428</xdr:colOff>
      <xdr:row>0</xdr:row>
      <xdr:rowOff>177940</xdr:rowOff>
    </xdr:from>
    <xdr:to>
      <xdr:col>6</xdr:col>
      <xdr:colOff>779885</xdr:colOff>
      <xdr:row>12</xdr:row>
      <xdr:rowOff>3176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FE4D9E-0D22-4F89-BA8E-3B0A403A66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6461" b="37534"/>
        <a:stretch>
          <a:fillRect/>
        </a:stretch>
      </xdr:blipFill>
      <xdr:spPr>
        <a:xfrm>
          <a:off x="7693269" y="177940"/>
          <a:ext cx="3928179" cy="22117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758190</xdr:colOff>
      <xdr:row>12</xdr:row>
      <xdr:rowOff>152400</xdr:rowOff>
    </xdr:from>
    <xdr:to>
      <xdr:col>10</xdr:col>
      <xdr:colOff>26670</xdr:colOff>
      <xdr:row>27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E0E5D1-94FF-1481-BE25-F7FA41F2D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140970</xdr:colOff>
      <xdr:row>12</xdr:row>
      <xdr:rowOff>152400</xdr:rowOff>
    </xdr:from>
    <xdr:to>
      <xdr:col>5</xdr:col>
      <xdr:colOff>377190</xdr:colOff>
      <xdr:row>27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DB68119-367D-3327-07D0-DF020D33C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576263</xdr:colOff>
      <xdr:row>43</xdr:row>
      <xdr:rowOff>104775</xdr:rowOff>
    </xdr:from>
    <xdr:to>
      <xdr:col>5</xdr:col>
      <xdr:colOff>823913</xdr:colOff>
      <xdr:row>58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F0C704-EEB7-A2C1-ED66-58025E9D9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71438</xdr:colOff>
      <xdr:row>43</xdr:row>
      <xdr:rowOff>123825</xdr:rowOff>
    </xdr:from>
    <xdr:to>
      <xdr:col>10</xdr:col>
      <xdr:colOff>147638</xdr:colOff>
      <xdr:row>58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BC4CD6-E101-E37F-BE86-2BE29092D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816428</xdr:colOff>
      <xdr:row>0</xdr:row>
      <xdr:rowOff>177941</xdr:rowOff>
    </xdr:from>
    <xdr:to>
      <xdr:col>5</xdr:col>
      <xdr:colOff>809917</xdr:colOff>
      <xdr:row>7</xdr:row>
      <xdr:rowOff>58617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BDB6CE-7DAE-45F8-A666-2C179C0AA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6461" b="37534"/>
        <a:stretch>
          <a:fillRect/>
        </a:stretch>
      </xdr:blipFill>
      <xdr:spPr>
        <a:xfrm>
          <a:off x="11103428" y="177941"/>
          <a:ext cx="2328335" cy="1248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activeCell="B24" sqref="B24"/>
    </sheetView>
  </sheetViews>
  <sheetFormatPr baseColWidth="10" defaultColWidth="12.5546875" defaultRowHeight="15" customHeight="1" x14ac:dyDescent="0.3"/>
  <cols>
    <col min="1" max="1" width="4.33203125" style="1" customWidth="1"/>
    <col min="2" max="2" width="13" style="1" bestFit="1" customWidth="1"/>
    <col min="3" max="4" width="13.5546875" style="1" bestFit="1" customWidth="1"/>
    <col min="5" max="5" width="9.5546875" style="1" bestFit="1" customWidth="1"/>
    <col min="6" max="6" width="18.109375" style="1" bestFit="1" customWidth="1"/>
    <col min="7" max="7" width="6.109375" style="1" bestFit="1" customWidth="1"/>
    <col min="8" max="8" width="10.5546875" style="1" bestFit="1" customWidth="1"/>
    <col min="9" max="9" width="13.5546875" style="1" bestFit="1" customWidth="1"/>
    <col min="10" max="10" width="9.5546875" style="1" bestFit="1" customWidth="1"/>
    <col min="11" max="11" width="18.109375" style="1" bestFit="1" customWidth="1"/>
    <col min="12" max="12" width="6.6640625" style="1" bestFit="1" customWidth="1"/>
    <col min="13" max="13" width="17.5546875" style="1" customWidth="1"/>
    <col min="14" max="26" width="10.5546875" style="1" customWidth="1"/>
    <col min="27" max="16384" width="12.5546875" style="1"/>
  </cols>
  <sheetData>
    <row r="1" spans="1:26" ht="15.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3"/>
      <c r="B2" s="312" t="s">
        <v>26</v>
      </c>
      <c r="C2" s="31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3"/>
      <c r="B3" s="314" t="s">
        <v>27</v>
      </c>
      <c r="C3" s="31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6" x14ac:dyDescent="0.3">
      <c r="A4" s="3"/>
      <c r="B4" s="5" t="s">
        <v>28</v>
      </c>
      <c r="C4" s="5" t="s">
        <v>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6" x14ac:dyDescent="0.3">
      <c r="A5" s="3"/>
      <c r="B5" s="8">
        <v>0.6</v>
      </c>
      <c r="C5" s="8">
        <f>1-B5</f>
        <v>0.4</v>
      </c>
      <c r="D5" s="3"/>
      <c r="E5" s="3"/>
      <c r="F5" s="10"/>
      <c r="G5" s="3"/>
      <c r="H5" s="3"/>
      <c r="I5" s="314" t="s">
        <v>29</v>
      </c>
      <c r="J5" s="3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6" x14ac:dyDescent="0.3">
      <c r="A6" s="10"/>
      <c r="B6" s="10"/>
      <c r="C6" s="10"/>
      <c r="D6" s="10"/>
      <c r="E6" s="3"/>
      <c r="F6" s="10"/>
      <c r="G6" s="3"/>
      <c r="H6" s="3"/>
      <c r="I6" s="5" t="str">
        <f t="shared" ref="I6:I8" si="0">+B8</f>
        <v>San Diego</v>
      </c>
      <c r="J6" s="11">
        <f>SUMPRODUCT(C14:F14,H13:K13)</f>
        <v>0.32833333333333331</v>
      </c>
      <c r="K6" s="1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3"/>
      <c r="B7" s="95" t="s">
        <v>30</v>
      </c>
      <c r="C7" s="7" t="s">
        <v>31</v>
      </c>
      <c r="D7" s="7" t="s">
        <v>32</v>
      </c>
      <c r="E7" s="3"/>
      <c r="F7" s="314" t="s">
        <v>28</v>
      </c>
      <c r="G7" s="311"/>
      <c r="H7" s="3"/>
      <c r="I7" s="5" t="str">
        <f t="shared" si="0"/>
        <v>Laureles</v>
      </c>
      <c r="J7" s="11">
        <f>SUMPRODUCT(C14:F14,H14:K14)</f>
        <v>0.24583333333333329</v>
      </c>
      <c r="K7" s="3"/>
      <c r="L7" s="7" t="s">
        <v>33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6" x14ac:dyDescent="0.3">
      <c r="A8" s="3"/>
      <c r="B8" s="5" t="s">
        <v>34</v>
      </c>
      <c r="C8" s="12">
        <v>1900000</v>
      </c>
      <c r="D8" s="13">
        <f t="shared" ref="D8:D10" si="1">1/C8</f>
        <v>5.2631578947368416E-7</v>
      </c>
      <c r="E8" s="3"/>
      <c r="F8" s="5" t="str">
        <f t="shared" ref="F8:F10" si="2">+B8</f>
        <v>San Diego</v>
      </c>
      <c r="G8" s="11">
        <f>+(D8)/(D11)</f>
        <v>0.39338458556754308</v>
      </c>
      <c r="H8" s="3"/>
      <c r="I8" s="5" t="str">
        <f t="shared" si="0"/>
        <v>El Guayabo</v>
      </c>
      <c r="J8" s="11">
        <f>SUMPRODUCT(C14:F14,H15:K15)</f>
        <v>0.42583333333333329</v>
      </c>
      <c r="K8" s="3"/>
      <c r="L8" s="94">
        <f>+(B5*(G8))+(C5*(J6))</f>
        <v>0.36736408467385917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6" x14ac:dyDescent="0.3">
      <c r="A9" s="3"/>
      <c r="B9" s="5" t="s">
        <v>35</v>
      </c>
      <c r="C9" s="12">
        <v>2600000</v>
      </c>
      <c r="D9" s="13">
        <f t="shared" si="1"/>
        <v>3.8461538461538463E-7</v>
      </c>
      <c r="E9" s="3"/>
      <c r="F9" s="5" t="str">
        <f t="shared" si="2"/>
        <v>Laureles</v>
      </c>
      <c r="G9" s="11">
        <f>+(D9)/(D11)</f>
        <v>0.28747335099166615</v>
      </c>
      <c r="H9" s="3"/>
      <c r="I9" s="3"/>
      <c r="J9" s="14">
        <f>+SUM(J6:J8)</f>
        <v>0.99999999999999989</v>
      </c>
      <c r="K9" s="3"/>
      <c r="L9" s="15">
        <f>+(B5*(G9))+(C5*(J7))</f>
        <v>0.27081734392833301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6" x14ac:dyDescent="0.3">
      <c r="A10" s="3"/>
      <c r="B10" s="5" t="s">
        <v>36</v>
      </c>
      <c r="C10" s="12">
        <v>2342000</v>
      </c>
      <c r="D10" s="13">
        <f t="shared" si="1"/>
        <v>4.2698548249359522E-7</v>
      </c>
      <c r="E10" s="3"/>
      <c r="F10" s="5" t="str">
        <f t="shared" si="2"/>
        <v>El Guayabo</v>
      </c>
      <c r="G10" s="11">
        <f>+(D10)/(D11)</f>
        <v>0.31914206344079077</v>
      </c>
      <c r="H10" s="3"/>
      <c r="I10" s="3"/>
      <c r="J10" s="3"/>
      <c r="K10" s="3"/>
      <c r="L10" s="15">
        <f>+(B5*(G10))+(C5*(J8))</f>
        <v>0.36181857139780782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6" x14ac:dyDescent="0.3">
      <c r="A11" s="3"/>
      <c r="B11" s="3"/>
      <c r="C11" s="16" t="s">
        <v>37</v>
      </c>
      <c r="D11" s="17">
        <f>+SUM(D8:D10)</f>
        <v>1.337916656582664E-6</v>
      </c>
      <c r="E11" s="3"/>
      <c r="F11" s="3"/>
      <c r="G11" s="14">
        <f>+SUM(G8:G10)</f>
        <v>1</v>
      </c>
      <c r="H11" s="3"/>
      <c r="I11" s="3"/>
      <c r="J11" s="3"/>
      <c r="K11" s="3"/>
      <c r="L11" s="14">
        <f>+SUM(L8:L10)</f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6" x14ac:dyDescent="0.3">
      <c r="A12" s="3"/>
      <c r="B12" s="3"/>
      <c r="C12" s="3"/>
      <c r="D12" s="3"/>
      <c r="E12" s="3"/>
      <c r="F12" s="3"/>
      <c r="G12" s="3"/>
      <c r="H12" s="7" t="str">
        <f t="shared" ref="H12:K12" si="3">+C13</f>
        <v>Seguridad</v>
      </c>
      <c r="I12" s="7" t="str">
        <f t="shared" si="3"/>
        <v>Accesibilidad</v>
      </c>
      <c r="J12" s="7" t="str">
        <f t="shared" si="3"/>
        <v>Cercania</v>
      </c>
      <c r="K12" s="7" t="str">
        <f t="shared" si="3"/>
        <v>Servicios públicos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6" x14ac:dyDescent="0.3">
      <c r="A13" s="3"/>
      <c r="B13" s="96" t="s">
        <v>38</v>
      </c>
      <c r="C13" s="7" t="s">
        <v>39</v>
      </c>
      <c r="D13" s="7" t="s">
        <v>40</v>
      </c>
      <c r="E13" s="7" t="s">
        <v>41</v>
      </c>
      <c r="F13" s="7" t="s">
        <v>42</v>
      </c>
      <c r="G13" s="3"/>
      <c r="H13" s="8">
        <f t="shared" ref="H13:H15" si="4">+G19</f>
        <v>0.4</v>
      </c>
      <c r="I13" s="8">
        <f t="shared" ref="I13:I15" si="5">+L19</f>
        <v>0.25</v>
      </c>
      <c r="J13" s="15">
        <f t="shared" ref="J13:J15" si="6">+G26</f>
        <v>0.33333333333333331</v>
      </c>
      <c r="K13" s="15">
        <f t="shared" ref="K13:K15" si="7">+L26</f>
        <v>0.33333333333333331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6" x14ac:dyDescent="0.3">
      <c r="A14" s="3"/>
      <c r="B14" s="5" t="s">
        <v>43</v>
      </c>
      <c r="C14" s="8">
        <v>0.3</v>
      </c>
      <c r="D14" s="8">
        <v>0.3</v>
      </c>
      <c r="E14" s="8">
        <v>0.25</v>
      </c>
      <c r="F14" s="8">
        <v>0.15</v>
      </c>
      <c r="G14" s="3"/>
      <c r="H14" s="8">
        <f t="shared" si="4"/>
        <v>0</v>
      </c>
      <c r="I14" s="8">
        <f t="shared" si="5"/>
        <v>0.375</v>
      </c>
      <c r="J14" s="15">
        <f t="shared" si="6"/>
        <v>0.33333333333333331</v>
      </c>
      <c r="K14" s="15">
        <f t="shared" si="7"/>
        <v>0.33333333333333331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3"/>
      <c r="B15" s="315" t="s">
        <v>44</v>
      </c>
      <c r="C15" s="316"/>
      <c r="D15" s="316"/>
      <c r="E15" s="18"/>
      <c r="F15" s="3">
        <f>+SUM(C14:F14)</f>
        <v>1</v>
      </c>
      <c r="G15" s="3"/>
      <c r="H15" s="8">
        <f t="shared" si="4"/>
        <v>0.6</v>
      </c>
      <c r="I15" s="8">
        <f t="shared" si="5"/>
        <v>0.375</v>
      </c>
      <c r="J15" s="15">
        <f t="shared" si="6"/>
        <v>0.33333333333333331</v>
      </c>
      <c r="K15" s="15">
        <f t="shared" si="7"/>
        <v>0.33333333333333331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6" x14ac:dyDescent="0.3">
      <c r="A16" s="3"/>
      <c r="B16" s="3"/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6" x14ac:dyDescent="0.3">
      <c r="A17" s="16"/>
      <c r="B17" s="95" t="s">
        <v>38</v>
      </c>
      <c r="C17" s="309" t="str">
        <f>+C13</f>
        <v>Seguridad</v>
      </c>
      <c r="D17" s="310"/>
      <c r="E17" s="310"/>
      <c r="F17" s="310"/>
      <c r="G17" s="311"/>
      <c r="H17" s="309" t="str">
        <f>+D13</f>
        <v>Accesibilidad</v>
      </c>
      <c r="I17" s="310"/>
      <c r="J17" s="310"/>
      <c r="K17" s="310"/>
      <c r="L17" s="31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6" x14ac:dyDescent="0.3">
      <c r="A18" s="16"/>
      <c r="B18" s="7" t="s">
        <v>30</v>
      </c>
      <c r="C18" s="7" t="s">
        <v>45</v>
      </c>
      <c r="D18" s="7" t="s">
        <v>46</v>
      </c>
      <c r="E18" s="7" t="s">
        <v>47</v>
      </c>
      <c r="F18" s="7" t="s">
        <v>48</v>
      </c>
      <c r="G18" s="7" t="s">
        <v>49</v>
      </c>
      <c r="H18" s="7" t="s">
        <v>45</v>
      </c>
      <c r="I18" s="7" t="s">
        <v>46</v>
      </c>
      <c r="J18" s="7" t="s">
        <v>47</v>
      </c>
      <c r="K18" s="7" t="s">
        <v>48</v>
      </c>
      <c r="L18" s="7" t="s">
        <v>49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6" x14ac:dyDescent="0.3">
      <c r="A19" s="3"/>
      <c r="B19" s="7" t="str">
        <f t="shared" ref="B19:B21" si="8">+F8</f>
        <v>San Diego</v>
      </c>
      <c r="C19" s="8">
        <v>0</v>
      </c>
      <c r="D19" s="8">
        <v>1</v>
      </c>
      <c r="E19" s="8">
        <v>1</v>
      </c>
      <c r="F19" s="8">
        <f t="shared" ref="F19:F21" si="9">+SUM(C19:E19)</f>
        <v>2</v>
      </c>
      <c r="G19" s="8">
        <f>+F19/F22</f>
        <v>0.4</v>
      </c>
      <c r="H19" s="8">
        <v>0</v>
      </c>
      <c r="I19" s="8">
        <v>1</v>
      </c>
      <c r="J19" s="8">
        <v>1</v>
      </c>
      <c r="K19" s="8">
        <f t="shared" ref="K19:K21" si="10">+SUM(H19:J19)</f>
        <v>2</v>
      </c>
      <c r="L19" s="8">
        <f>+K19/K22</f>
        <v>0.25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 x14ac:dyDescent="0.3">
      <c r="A20" s="3"/>
      <c r="B20" s="7" t="str">
        <f t="shared" si="8"/>
        <v>Laureles</v>
      </c>
      <c r="C20" s="8">
        <v>0</v>
      </c>
      <c r="D20" s="8">
        <v>0</v>
      </c>
      <c r="E20" s="8">
        <v>0</v>
      </c>
      <c r="F20" s="8">
        <f t="shared" si="9"/>
        <v>0</v>
      </c>
      <c r="G20" s="8">
        <f>+F20/F22</f>
        <v>0</v>
      </c>
      <c r="H20" s="8">
        <v>1</v>
      </c>
      <c r="I20" s="8">
        <v>1</v>
      </c>
      <c r="J20" s="8">
        <v>1</v>
      </c>
      <c r="K20" s="8">
        <f t="shared" si="10"/>
        <v>3</v>
      </c>
      <c r="L20" s="8">
        <f>+K20/K22</f>
        <v>0.375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7" t="str">
        <f t="shared" si="8"/>
        <v>El Guayabo</v>
      </c>
      <c r="C21" s="8">
        <v>1</v>
      </c>
      <c r="D21" s="8">
        <v>1</v>
      </c>
      <c r="E21" s="8">
        <v>1</v>
      </c>
      <c r="F21" s="8">
        <f t="shared" si="9"/>
        <v>3</v>
      </c>
      <c r="G21" s="8">
        <f>+F21/F22</f>
        <v>0.6</v>
      </c>
      <c r="H21" s="8">
        <v>1</v>
      </c>
      <c r="I21" s="8">
        <v>1</v>
      </c>
      <c r="J21" s="8">
        <v>1</v>
      </c>
      <c r="K21" s="8">
        <f t="shared" si="10"/>
        <v>3</v>
      </c>
      <c r="L21" s="8">
        <f>+K21/K22</f>
        <v>0.375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16"/>
      <c r="C22" s="3"/>
      <c r="D22" s="317" t="s">
        <v>50</v>
      </c>
      <c r="E22" s="318"/>
      <c r="F22" s="3">
        <f t="shared" ref="F22:G22" si="11">+SUM(F19:F21)</f>
        <v>5</v>
      </c>
      <c r="G22" s="3">
        <f t="shared" si="11"/>
        <v>1</v>
      </c>
      <c r="H22" s="3"/>
      <c r="I22" s="319" t="s">
        <v>50</v>
      </c>
      <c r="J22" s="316"/>
      <c r="K22" s="3">
        <f t="shared" ref="K22:L22" si="12">+SUM(K19:K21)</f>
        <v>8</v>
      </c>
      <c r="L22" s="3">
        <f t="shared" si="12"/>
        <v>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16"/>
      <c r="B24" s="95" t="s">
        <v>38</v>
      </c>
      <c r="C24" s="309" t="str">
        <f>+E13</f>
        <v>Cercania</v>
      </c>
      <c r="D24" s="310"/>
      <c r="E24" s="310"/>
      <c r="F24" s="310"/>
      <c r="G24" s="311"/>
      <c r="H24" s="309" t="str">
        <f>+F13</f>
        <v>Servicios públicos</v>
      </c>
      <c r="I24" s="310"/>
      <c r="J24" s="310"/>
      <c r="K24" s="310"/>
      <c r="L24" s="31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">
      <c r="A25" s="16"/>
      <c r="B25" s="7" t="s">
        <v>30</v>
      </c>
      <c r="C25" s="7" t="s">
        <v>45</v>
      </c>
      <c r="D25" s="7" t="s">
        <v>46</v>
      </c>
      <c r="E25" s="7" t="s">
        <v>47</v>
      </c>
      <c r="F25" s="7" t="s">
        <v>48</v>
      </c>
      <c r="G25" s="7" t="s">
        <v>49</v>
      </c>
      <c r="H25" s="7" t="s">
        <v>45</v>
      </c>
      <c r="I25" s="7" t="s">
        <v>46</v>
      </c>
      <c r="J25" s="7" t="s">
        <v>47</v>
      </c>
      <c r="K25" s="7" t="s">
        <v>48</v>
      </c>
      <c r="L25" s="7" t="s">
        <v>49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">
      <c r="A26" s="3"/>
      <c r="B26" s="7" t="str">
        <f t="shared" ref="B26:B28" si="13">+F8</f>
        <v>San Diego</v>
      </c>
      <c r="C26" s="8">
        <v>1</v>
      </c>
      <c r="D26" s="8">
        <v>1</v>
      </c>
      <c r="E26" s="8">
        <v>1</v>
      </c>
      <c r="F26" s="8">
        <f t="shared" ref="F26:F28" si="14">+SUM(C26:E26)</f>
        <v>3</v>
      </c>
      <c r="G26" s="15">
        <f>+F26/F29</f>
        <v>0.33333333333333331</v>
      </c>
      <c r="H26" s="8">
        <v>1</v>
      </c>
      <c r="I26" s="8">
        <v>1</v>
      </c>
      <c r="J26" s="8">
        <v>1</v>
      </c>
      <c r="K26" s="8">
        <f t="shared" ref="K26:K28" si="15">+SUM(H26:J26)</f>
        <v>3</v>
      </c>
      <c r="L26" s="15">
        <f>+K26/K29</f>
        <v>0.33333333333333331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7" t="str">
        <f t="shared" si="13"/>
        <v>Laureles</v>
      </c>
      <c r="C27" s="8">
        <v>1</v>
      </c>
      <c r="D27" s="8">
        <v>1</v>
      </c>
      <c r="E27" s="8">
        <v>1</v>
      </c>
      <c r="F27" s="8">
        <f t="shared" si="14"/>
        <v>3</v>
      </c>
      <c r="G27" s="15">
        <f>+F27/F29</f>
        <v>0.33333333333333331</v>
      </c>
      <c r="H27" s="8">
        <v>1</v>
      </c>
      <c r="I27" s="8">
        <v>1</v>
      </c>
      <c r="J27" s="8">
        <v>1</v>
      </c>
      <c r="K27" s="8">
        <f t="shared" si="15"/>
        <v>3</v>
      </c>
      <c r="L27" s="15">
        <f>+K27/K29</f>
        <v>0.33333333333333331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7" t="str">
        <f t="shared" si="13"/>
        <v>El Guayabo</v>
      </c>
      <c r="C28" s="8">
        <v>1</v>
      </c>
      <c r="D28" s="8">
        <v>1</v>
      </c>
      <c r="E28" s="8">
        <v>1</v>
      </c>
      <c r="F28" s="8">
        <f t="shared" si="14"/>
        <v>3</v>
      </c>
      <c r="G28" s="15">
        <f>+F28/F29</f>
        <v>0.33333333333333331</v>
      </c>
      <c r="H28" s="8">
        <v>1</v>
      </c>
      <c r="I28" s="8">
        <v>1</v>
      </c>
      <c r="J28" s="8">
        <v>1</v>
      </c>
      <c r="K28" s="8">
        <f t="shared" si="15"/>
        <v>3</v>
      </c>
      <c r="L28" s="15">
        <f>+K28/K29</f>
        <v>0.33333333333333331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19" t="s">
        <v>50</v>
      </c>
      <c r="E29" s="316"/>
      <c r="F29" s="3">
        <f t="shared" ref="F29:G29" si="16">+SUM(F26:F28)</f>
        <v>9</v>
      </c>
      <c r="G29" s="14">
        <f t="shared" si="16"/>
        <v>1</v>
      </c>
      <c r="H29" s="3"/>
      <c r="I29" s="319" t="s">
        <v>50</v>
      </c>
      <c r="J29" s="316"/>
      <c r="K29" s="3">
        <f t="shared" ref="K29:L29" si="17">+SUM(K26:K28)</f>
        <v>9</v>
      </c>
      <c r="L29" s="14">
        <f t="shared" si="17"/>
        <v>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">
    <mergeCell ref="D22:E22"/>
    <mergeCell ref="I22:J22"/>
    <mergeCell ref="C24:G24"/>
    <mergeCell ref="H24:L24"/>
    <mergeCell ref="D29:E29"/>
    <mergeCell ref="I29:J29"/>
    <mergeCell ref="C17:G17"/>
    <mergeCell ref="H17:L17"/>
    <mergeCell ref="B2:C2"/>
    <mergeCell ref="B3:C3"/>
    <mergeCell ref="I5:J5"/>
    <mergeCell ref="F7:G7"/>
    <mergeCell ref="B15:D15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006"/>
  <sheetViews>
    <sheetView showGridLines="0" zoomScale="91" zoomScaleNormal="100" workbookViewId="0">
      <selection activeCell="R8" sqref="R8"/>
    </sheetView>
  </sheetViews>
  <sheetFormatPr baseColWidth="10" defaultColWidth="12.5546875" defaultRowHeight="15" customHeight="1" x14ac:dyDescent="0.3"/>
  <cols>
    <col min="1" max="1" width="4.6640625" style="1" customWidth="1"/>
    <col min="2" max="2" width="3.33203125" style="1" bestFit="1" customWidth="1"/>
    <col min="3" max="3" width="36.5546875" style="2" bestFit="1" customWidth="1"/>
    <col min="4" max="4" width="8.44140625" style="1" bestFit="1" customWidth="1"/>
    <col min="5" max="8" width="7.88671875" style="1" bestFit="1" customWidth="1"/>
    <col min="9" max="9" width="7.88671875" style="1" customWidth="1"/>
    <col min="10" max="10" width="2" style="93" customWidth="1"/>
    <col min="11" max="11" width="10.5546875" style="1" customWidth="1"/>
    <col min="12" max="12" width="11.5546875" style="1" bestFit="1" customWidth="1"/>
    <col min="13" max="13" width="12.44140625" style="1" bestFit="1" customWidth="1"/>
    <col min="14" max="14" width="14.33203125" style="1" bestFit="1" customWidth="1"/>
    <col min="15" max="16" width="11.88671875" style="1" bestFit="1" customWidth="1"/>
    <col min="17" max="17" width="9.109375" style="1" bestFit="1" customWidth="1"/>
    <col min="18" max="18" width="17.109375" style="1" bestFit="1" customWidth="1"/>
    <col min="19" max="19" width="18.33203125" style="1" customWidth="1"/>
    <col min="20" max="27" width="10.5546875" style="1" customWidth="1"/>
    <col min="28" max="16384" width="12.5546875" style="1"/>
  </cols>
  <sheetData>
    <row r="1" spans="2:19" ht="15.6" x14ac:dyDescent="0.3">
      <c r="D1" s="3"/>
      <c r="E1" s="3"/>
      <c r="F1" s="3"/>
      <c r="G1" s="3"/>
      <c r="H1" s="3"/>
      <c r="I1" s="3"/>
      <c r="J1" s="92"/>
    </row>
    <row r="2" spans="2:19" ht="15.6" x14ac:dyDescent="0.3">
      <c r="C2" s="340" t="s">
        <v>109</v>
      </c>
      <c r="D2" s="341"/>
      <c r="E2" s="341"/>
      <c r="F2" s="341"/>
      <c r="G2" s="341"/>
      <c r="H2" s="341"/>
      <c r="I2" s="116"/>
      <c r="J2" s="118"/>
      <c r="L2" s="339" t="s">
        <v>227</v>
      </c>
      <c r="M2" s="339"/>
      <c r="N2" s="339"/>
      <c r="P2" s="339" t="s">
        <v>221</v>
      </c>
      <c r="Q2" s="339"/>
      <c r="R2" s="339"/>
    </row>
    <row r="3" spans="2:19" ht="15.6" x14ac:dyDescent="0.3">
      <c r="C3" s="4"/>
      <c r="D3" s="5" t="s">
        <v>0</v>
      </c>
      <c r="E3" s="5" t="s">
        <v>1</v>
      </c>
      <c r="F3" s="5" t="s">
        <v>2</v>
      </c>
      <c r="G3" s="5" t="s">
        <v>3</v>
      </c>
      <c r="H3" s="5" t="s">
        <v>4</v>
      </c>
      <c r="I3" s="59"/>
      <c r="J3" s="119"/>
      <c r="L3" s="321" t="s">
        <v>118</v>
      </c>
      <c r="M3" s="321"/>
      <c r="N3" s="321"/>
      <c r="P3" s="321" t="s">
        <v>118</v>
      </c>
      <c r="Q3" s="321"/>
      <c r="R3" s="321"/>
    </row>
    <row r="4" spans="2:19" ht="15.6" x14ac:dyDescent="0.3">
      <c r="C4" s="4" t="s">
        <v>89</v>
      </c>
      <c r="D4" s="6">
        <v>390000</v>
      </c>
      <c r="E4" s="6">
        <f>+ROUNDUP(D4*1.05,0)</f>
        <v>409500</v>
      </c>
      <c r="F4" s="6">
        <f t="shared" ref="F4:H4" si="0">+ROUNDUP(E4*1.05,0)</f>
        <v>429975</v>
      </c>
      <c r="G4" s="6">
        <f t="shared" si="0"/>
        <v>451474</v>
      </c>
      <c r="H4" s="6">
        <f t="shared" si="0"/>
        <v>474048</v>
      </c>
      <c r="I4" s="117"/>
      <c r="J4" s="120"/>
      <c r="L4" s="339" t="s">
        <v>116</v>
      </c>
      <c r="M4" s="339"/>
      <c r="N4" s="34" t="s">
        <v>117</v>
      </c>
      <c r="P4" s="339" t="s">
        <v>116</v>
      </c>
      <c r="Q4" s="339"/>
      <c r="R4" s="34" t="s">
        <v>117</v>
      </c>
    </row>
    <row r="5" spans="2:19" ht="15.6" x14ac:dyDescent="0.3">
      <c r="C5" s="4" t="s">
        <v>88</v>
      </c>
      <c r="D5" s="6">
        <f t="shared" ref="D5:H5" si="1">+ROUNDUP(D4/12,0)</f>
        <v>32500</v>
      </c>
      <c r="E5" s="6">
        <f t="shared" si="1"/>
        <v>34125</v>
      </c>
      <c r="F5" s="6">
        <f t="shared" si="1"/>
        <v>35832</v>
      </c>
      <c r="G5" s="6">
        <f t="shared" si="1"/>
        <v>37623</v>
      </c>
      <c r="H5" s="6">
        <f t="shared" si="1"/>
        <v>39504</v>
      </c>
      <c r="I5" s="117"/>
      <c r="J5" s="120"/>
      <c r="L5" s="82">
        <v>2023</v>
      </c>
      <c r="M5" s="83">
        <v>9.2799999999999994E-2</v>
      </c>
      <c r="N5" s="25">
        <v>0.2</v>
      </c>
      <c r="P5" s="82">
        <v>2023</v>
      </c>
      <c r="Q5" s="83">
        <v>0.16</v>
      </c>
      <c r="R5" s="25">
        <v>0.2</v>
      </c>
    </row>
    <row r="6" spans="2:19" ht="15.6" x14ac:dyDescent="0.3">
      <c r="C6" s="4" t="s">
        <v>90</v>
      </c>
      <c r="D6" s="6">
        <f t="shared" ref="D6:H6" si="2">+ROUNDUP(D5*1.4,0)</f>
        <v>45500</v>
      </c>
      <c r="E6" s="6">
        <f t="shared" si="2"/>
        <v>47775</v>
      </c>
      <c r="F6" s="6">
        <f t="shared" si="2"/>
        <v>50165</v>
      </c>
      <c r="G6" s="6">
        <f t="shared" si="2"/>
        <v>52673</v>
      </c>
      <c r="H6" s="6">
        <f t="shared" si="2"/>
        <v>55306</v>
      </c>
      <c r="I6" s="117"/>
      <c r="J6" s="120"/>
      <c r="L6" s="82">
        <v>2024</v>
      </c>
      <c r="M6" s="83">
        <v>5.1999999999999998E-2</v>
      </c>
      <c r="N6" s="25">
        <v>0.3</v>
      </c>
      <c r="P6" s="82">
        <v>2024</v>
      </c>
      <c r="Q6" s="83">
        <v>0.121</v>
      </c>
      <c r="R6" s="25">
        <v>0.3</v>
      </c>
    </row>
    <row r="7" spans="2:19" ht="15.6" x14ac:dyDescent="0.3">
      <c r="C7" s="41"/>
      <c r="D7" s="42"/>
      <c r="E7" s="42"/>
      <c r="F7" s="42"/>
      <c r="G7" s="42"/>
      <c r="H7" s="42"/>
      <c r="I7" s="42"/>
      <c r="J7" s="121"/>
      <c r="L7" s="82">
        <v>2025</v>
      </c>
      <c r="M7" s="83">
        <v>5.5100000000000003E-2</v>
      </c>
      <c r="N7" s="25">
        <v>0.5</v>
      </c>
      <c r="P7" s="82">
        <v>2025</v>
      </c>
      <c r="Q7" s="83">
        <v>9.5000000000000001E-2</v>
      </c>
      <c r="R7" s="25">
        <v>0.5</v>
      </c>
    </row>
    <row r="8" spans="2:19" ht="15.6" x14ac:dyDescent="0.3">
      <c r="C8" s="43" t="s">
        <v>108</v>
      </c>
      <c r="D8" s="342" t="s">
        <v>107</v>
      </c>
      <c r="E8" s="342"/>
      <c r="F8" s="342"/>
      <c r="G8" s="342"/>
      <c r="H8" s="342"/>
      <c r="I8" s="117"/>
      <c r="J8" s="120"/>
      <c r="L8" s="124">
        <v>2026</v>
      </c>
      <c r="M8" s="125">
        <f>+SUMPRODUCT(M5:M7,N5:N7)</f>
        <v>6.1710000000000001E-2</v>
      </c>
      <c r="N8" s="180" t="s">
        <v>0</v>
      </c>
      <c r="P8" s="126">
        <v>2026</v>
      </c>
      <c r="Q8" s="127">
        <f>+SUMPRODUCT(Q5:Q7,R5:R7)</f>
        <v>0.1158</v>
      </c>
      <c r="R8" s="180" t="s">
        <v>0</v>
      </c>
    </row>
    <row r="9" spans="2:19" ht="15.6" x14ac:dyDescent="0.3">
      <c r="D9" s="7" t="s">
        <v>0</v>
      </c>
      <c r="E9" s="7" t="s">
        <v>1</v>
      </c>
      <c r="F9" s="7" t="s">
        <v>2</v>
      </c>
      <c r="G9" s="7" t="s">
        <v>3</v>
      </c>
      <c r="H9" s="7" t="s">
        <v>4</v>
      </c>
      <c r="I9" s="38"/>
      <c r="J9" s="122"/>
      <c r="L9" s="126">
        <v>2027</v>
      </c>
      <c r="M9" s="127">
        <f>+SUMPRODUCT(M6:M8,N5:N7)</f>
        <v>5.7785000000000003E-2</v>
      </c>
      <c r="N9" s="180" t="s">
        <v>1</v>
      </c>
      <c r="P9" s="126">
        <v>2027</v>
      </c>
      <c r="Q9" s="127">
        <f>+SUMPRODUCT(Q6:Q8,R5:R7)</f>
        <v>0.1106</v>
      </c>
      <c r="R9" s="180" t="s">
        <v>1</v>
      </c>
    </row>
    <row r="10" spans="2:19" ht="15.6" x14ac:dyDescent="0.3">
      <c r="B10" s="1">
        <v>1</v>
      </c>
      <c r="C10" s="4" t="s">
        <v>5</v>
      </c>
      <c r="D10" s="6">
        <v>1</v>
      </c>
      <c r="E10" s="8">
        <v>1</v>
      </c>
      <c r="F10" s="8">
        <v>1</v>
      </c>
      <c r="G10" s="8">
        <v>1</v>
      </c>
      <c r="H10" s="8">
        <v>1</v>
      </c>
      <c r="I10" s="22"/>
      <c r="J10" s="123"/>
      <c r="L10" s="126">
        <v>2028</v>
      </c>
      <c r="M10" s="127">
        <f>+SUMPRODUCT(M7:M9,N5:N7)</f>
        <v>5.8425500000000005E-2</v>
      </c>
      <c r="N10" s="180" t="s">
        <v>2</v>
      </c>
      <c r="P10" s="126">
        <v>2028</v>
      </c>
      <c r="Q10" s="127">
        <f>+SUMPRODUCT(Q7:Q9,R5:R7)</f>
        <v>0.10904</v>
      </c>
      <c r="R10" s="180" t="s">
        <v>2</v>
      </c>
    </row>
    <row r="11" spans="2:19" ht="15.6" x14ac:dyDescent="0.3">
      <c r="B11" s="1">
        <v>2</v>
      </c>
      <c r="C11" s="4" t="s">
        <v>92</v>
      </c>
      <c r="D11" s="6">
        <v>1</v>
      </c>
      <c r="E11" s="8">
        <f>+ROUNDUP(D11*(1+0.05)^1,0)</f>
        <v>2</v>
      </c>
      <c r="F11" s="8">
        <f t="shared" ref="F11:F15" si="3">+ROUNDUP(D11*(1+0.05)^2,0)</f>
        <v>2</v>
      </c>
      <c r="G11" s="8">
        <f t="shared" ref="G11:G16" si="4">+ROUNDUP(D11*(1+0.05)^3,0)</f>
        <v>2</v>
      </c>
      <c r="H11" s="8">
        <f t="shared" ref="H11:H16" si="5">+ROUNDUP(D11*(1+0.05)^4,0)</f>
        <v>2</v>
      </c>
      <c r="I11" s="22"/>
      <c r="J11" s="123"/>
      <c r="L11" s="126">
        <v>2029</v>
      </c>
      <c r="M11" s="127">
        <f>+SUMPRODUCT(M8:M10,N5:N7)</f>
        <v>5.8890250000000005E-2</v>
      </c>
      <c r="N11" s="180" t="s">
        <v>3</v>
      </c>
      <c r="P11" s="126">
        <v>2029</v>
      </c>
      <c r="Q11" s="127">
        <f>+SUMPRODUCT(Q8:Q10,R5:R7)</f>
        <v>0.11086</v>
      </c>
      <c r="R11" s="180" t="s">
        <v>3</v>
      </c>
    </row>
    <row r="12" spans="2:19" ht="15.6" x14ac:dyDescent="0.3">
      <c r="B12" s="1">
        <v>3</v>
      </c>
      <c r="C12" s="4" t="s">
        <v>6</v>
      </c>
      <c r="D12" s="6">
        <v>1</v>
      </c>
      <c r="E12" s="8">
        <f>+ROUNDUP(D12*(1+0.05)^1,0)</f>
        <v>2</v>
      </c>
      <c r="F12" s="8">
        <f t="shared" si="3"/>
        <v>2</v>
      </c>
      <c r="G12" s="8">
        <f t="shared" si="4"/>
        <v>2</v>
      </c>
      <c r="H12" s="8">
        <f t="shared" si="5"/>
        <v>2</v>
      </c>
      <c r="I12" s="22"/>
      <c r="J12" s="123"/>
      <c r="L12" s="126">
        <v>2030</v>
      </c>
      <c r="M12" s="127">
        <f>+SUMPRODUCT(M9:M11,N5:N7)</f>
        <v>5.8529775000000006E-2</v>
      </c>
      <c r="N12" s="180" t="s">
        <v>4</v>
      </c>
      <c r="P12" s="126">
        <v>2030</v>
      </c>
      <c r="Q12" s="127">
        <f>+SUMPRODUCT(Q9:Q11,R5:R7)</f>
        <v>0.110262</v>
      </c>
      <c r="R12" s="180" t="s">
        <v>4</v>
      </c>
    </row>
    <row r="13" spans="2:19" ht="15.6" x14ac:dyDescent="0.3">
      <c r="B13" s="1">
        <v>4</v>
      </c>
      <c r="C13" s="4" t="s">
        <v>7</v>
      </c>
      <c r="D13" s="6">
        <v>1</v>
      </c>
      <c r="E13" s="8">
        <f t="shared" ref="E13:E14" si="6">+ROUNDUP(D13*(1+0.05)^1,0)</f>
        <v>2</v>
      </c>
      <c r="F13" s="8">
        <f t="shared" si="3"/>
        <v>2</v>
      </c>
      <c r="G13" s="8">
        <f t="shared" si="4"/>
        <v>2</v>
      </c>
      <c r="H13" s="8">
        <f t="shared" si="5"/>
        <v>2</v>
      </c>
      <c r="I13" s="22"/>
      <c r="J13" s="123"/>
      <c r="L13" s="59"/>
      <c r="M13" s="89"/>
      <c r="N13" s="81"/>
    </row>
    <row r="14" spans="2:19" ht="15.6" x14ac:dyDescent="0.3">
      <c r="B14" s="1">
        <v>5</v>
      </c>
      <c r="C14" s="4" t="s">
        <v>8</v>
      </c>
      <c r="D14" s="6">
        <v>1</v>
      </c>
      <c r="E14" s="8">
        <f t="shared" si="6"/>
        <v>2</v>
      </c>
      <c r="F14" s="8">
        <f t="shared" si="3"/>
        <v>2</v>
      </c>
      <c r="G14" s="8">
        <f t="shared" si="4"/>
        <v>2</v>
      </c>
      <c r="H14" s="8">
        <f t="shared" si="5"/>
        <v>2</v>
      </c>
      <c r="I14" s="22"/>
      <c r="J14" s="123"/>
      <c r="L14" s="321" t="s">
        <v>129</v>
      </c>
      <c r="M14" s="321"/>
      <c r="N14" s="321"/>
      <c r="O14" s="321"/>
      <c r="P14" s="321"/>
      <c r="Q14" s="321"/>
      <c r="R14" s="321"/>
      <c r="S14" s="321"/>
    </row>
    <row r="15" spans="2:19" ht="15.6" x14ac:dyDescent="0.3">
      <c r="B15" s="1">
        <v>6</v>
      </c>
      <c r="C15" s="4" t="s">
        <v>9</v>
      </c>
      <c r="D15" s="6">
        <v>2</v>
      </c>
      <c r="E15" s="8">
        <f>+ROUNDUP(D15*(1+0.05)^1,0)</f>
        <v>3</v>
      </c>
      <c r="F15" s="8">
        <f t="shared" si="3"/>
        <v>3</v>
      </c>
      <c r="G15" s="8">
        <f t="shared" si="4"/>
        <v>3</v>
      </c>
      <c r="H15" s="8">
        <f t="shared" si="5"/>
        <v>3</v>
      </c>
      <c r="I15" s="22"/>
      <c r="J15" s="123"/>
      <c r="L15" s="25"/>
      <c r="M15" s="86"/>
      <c r="N15" s="27" t="s">
        <v>123</v>
      </c>
      <c r="O15" s="27" t="s">
        <v>124</v>
      </c>
      <c r="P15" s="27"/>
      <c r="Q15" s="322"/>
      <c r="R15" s="327" t="s">
        <v>122</v>
      </c>
      <c r="S15" s="328"/>
    </row>
    <row r="16" spans="2:19" ht="15.6" x14ac:dyDescent="0.3">
      <c r="B16" s="1">
        <v>7</v>
      </c>
      <c r="C16" s="4" t="s">
        <v>93</v>
      </c>
      <c r="D16" s="6">
        <v>1</v>
      </c>
      <c r="E16" s="8">
        <f>+ROUNDUP(D16*(1+0.05)^1,0)</f>
        <v>2</v>
      </c>
      <c r="F16" s="8">
        <f>+ROUNDUP(D16*(1+0.05)^2,0)</f>
        <v>2</v>
      </c>
      <c r="G16" s="8">
        <f t="shared" si="4"/>
        <v>2</v>
      </c>
      <c r="H16" s="8">
        <f t="shared" si="5"/>
        <v>2</v>
      </c>
      <c r="I16" s="22"/>
      <c r="J16" s="123"/>
      <c r="L16" s="333" t="s">
        <v>119</v>
      </c>
      <c r="M16" s="336">
        <v>250000</v>
      </c>
      <c r="N16" s="337">
        <v>0.54</v>
      </c>
      <c r="O16" s="338">
        <f>+N16+P22</f>
        <v>0.65333333333333332</v>
      </c>
      <c r="P16" s="320">
        <f>+M16*O16</f>
        <v>163333.33333333334</v>
      </c>
      <c r="Q16" s="323"/>
      <c r="R16" s="90">
        <f>+(P16+P18+P20)/3</f>
        <v>251111.11111111115</v>
      </c>
      <c r="S16" s="82" t="s">
        <v>125</v>
      </c>
    </row>
    <row r="17" spans="2:19" ht="15.6" x14ac:dyDescent="0.3">
      <c r="B17" s="1">
        <v>8</v>
      </c>
      <c r="C17" s="33" t="s">
        <v>91</v>
      </c>
      <c r="D17" s="9">
        <v>4</v>
      </c>
      <c r="E17" s="8">
        <f t="shared" ref="E17:E32" si="7">+ROUNDUP(D17*(1+0.05)^1,0)</f>
        <v>5</v>
      </c>
      <c r="F17" s="8">
        <f t="shared" ref="F17:F31" si="8">+ROUNDUP(D17*(1+0.05)^2,0)</f>
        <v>5</v>
      </c>
      <c r="G17" s="8">
        <f t="shared" ref="G17:G31" si="9">+ROUNDUP(D17*(1+0.05)^3,0)</f>
        <v>5</v>
      </c>
      <c r="H17" s="8">
        <f t="shared" ref="H17:H31" si="10">+ROUNDUP(D17*(1+0.05)^4,0)</f>
        <v>5</v>
      </c>
      <c r="I17" s="22"/>
      <c r="J17" s="123"/>
      <c r="L17" s="334"/>
      <c r="M17" s="336"/>
      <c r="N17" s="337"/>
      <c r="O17" s="338"/>
      <c r="P17" s="320"/>
      <c r="Q17" s="323"/>
      <c r="R17" s="90">
        <f>+SUM('CALCULO COSTOS E INVERSIONES'!E38:E47)</f>
        <v>16450</v>
      </c>
      <c r="S17" s="82" t="s">
        <v>126</v>
      </c>
    </row>
    <row r="18" spans="2:19" ht="15.6" x14ac:dyDescent="0.3">
      <c r="B18" s="1">
        <v>9</v>
      </c>
      <c r="C18" s="33" t="s">
        <v>10</v>
      </c>
      <c r="D18" s="9">
        <v>2</v>
      </c>
      <c r="E18" s="8">
        <f t="shared" si="7"/>
        <v>3</v>
      </c>
      <c r="F18" s="8">
        <f t="shared" si="8"/>
        <v>3</v>
      </c>
      <c r="G18" s="8">
        <f t="shared" si="9"/>
        <v>3</v>
      </c>
      <c r="H18" s="8">
        <f t="shared" si="10"/>
        <v>3</v>
      </c>
      <c r="I18" s="22"/>
      <c r="J18" s="123"/>
      <c r="L18" s="333" t="s">
        <v>120</v>
      </c>
      <c r="M18" s="336">
        <v>500000</v>
      </c>
      <c r="N18" s="337">
        <v>0.4</v>
      </c>
      <c r="O18" s="338">
        <f>+N18+P22</f>
        <v>0.51333333333333342</v>
      </c>
      <c r="P18" s="320">
        <f>+M18*O18</f>
        <v>256666.66666666672</v>
      </c>
      <c r="Q18" s="323"/>
      <c r="R18" s="97">
        <f>+R16+R17</f>
        <v>267561.11111111112</v>
      </c>
      <c r="S18" s="82" t="s">
        <v>127</v>
      </c>
    </row>
    <row r="19" spans="2:19" ht="15.6" x14ac:dyDescent="0.3">
      <c r="B19" s="1">
        <v>10</v>
      </c>
      <c r="C19" s="33" t="s">
        <v>94</v>
      </c>
      <c r="D19" s="9">
        <v>5</v>
      </c>
      <c r="E19" s="8">
        <f t="shared" si="7"/>
        <v>6</v>
      </c>
      <c r="F19" s="8">
        <f t="shared" si="8"/>
        <v>6</v>
      </c>
      <c r="G19" s="8">
        <f t="shared" si="9"/>
        <v>6</v>
      </c>
      <c r="H19" s="8">
        <f t="shared" si="10"/>
        <v>7</v>
      </c>
      <c r="I19" s="22"/>
      <c r="J19" s="123"/>
      <c r="L19" s="334"/>
      <c r="M19" s="336"/>
      <c r="N19" s="337"/>
      <c r="O19" s="338"/>
      <c r="P19" s="320"/>
      <c r="Q19" s="323"/>
      <c r="R19" s="325"/>
      <c r="S19" s="326"/>
    </row>
    <row r="20" spans="2:19" ht="15.6" x14ac:dyDescent="0.3">
      <c r="B20" s="1">
        <v>11</v>
      </c>
      <c r="C20" s="33" t="s">
        <v>11</v>
      </c>
      <c r="D20" s="9">
        <v>1</v>
      </c>
      <c r="E20" s="8">
        <f t="shared" si="7"/>
        <v>2</v>
      </c>
      <c r="F20" s="8">
        <f t="shared" si="8"/>
        <v>2</v>
      </c>
      <c r="G20" s="8">
        <f t="shared" si="9"/>
        <v>2</v>
      </c>
      <c r="H20" s="8">
        <f t="shared" si="10"/>
        <v>2</v>
      </c>
      <c r="I20" s="22"/>
      <c r="J20" s="123"/>
      <c r="L20" s="333" t="s">
        <v>121</v>
      </c>
      <c r="M20" s="336">
        <v>1000000</v>
      </c>
      <c r="N20" s="337">
        <v>0.22</v>
      </c>
      <c r="O20" s="338">
        <f>+N20+P22</f>
        <v>0.33333333333333337</v>
      </c>
      <c r="P20" s="320">
        <f>+M20*O20</f>
        <v>333333.33333333337</v>
      </c>
      <c r="Q20" s="323"/>
      <c r="R20" s="91" t="s">
        <v>128</v>
      </c>
      <c r="S20" s="329">
        <v>0.3</v>
      </c>
    </row>
    <row r="21" spans="2:19" ht="15.6" x14ac:dyDescent="0.3">
      <c r="B21" s="1">
        <v>12</v>
      </c>
      <c r="C21" s="33" t="s">
        <v>12</v>
      </c>
      <c r="D21" s="9">
        <v>2</v>
      </c>
      <c r="E21" s="8">
        <f t="shared" si="7"/>
        <v>3</v>
      </c>
      <c r="F21" s="8">
        <f t="shared" si="8"/>
        <v>3</v>
      </c>
      <c r="G21" s="8">
        <f t="shared" si="9"/>
        <v>3</v>
      </c>
      <c r="H21" s="8">
        <f t="shared" si="10"/>
        <v>3</v>
      </c>
      <c r="I21" s="22"/>
      <c r="J21" s="123"/>
      <c r="L21" s="334"/>
      <c r="M21" s="336"/>
      <c r="N21" s="337"/>
      <c r="O21" s="338"/>
      <c r="P21" s="320"/>
      <c r="Q21" s="323"/>
      <c r="R21" s="97">
        <f>+ROUNDUP(R18*(1+S20),0)</f>
        <v>347830</v>
      </c>
      <c r="S21" s="330"/>
    </row>
    <row r="22" spans="2:19" ht="15.75" customHeight="1" x14ac:dyDescent="0.3">
      <c r="B22" s="1">
        <v>13</v>
      </c>
      <c r="C22" s="33" t="s">
        <v>132</v>
      </c>
      <c r="D22" s="9">
        <v>2</v>
      </c>
      <c r="E22" s="8">
        <f t="shared" si="7"/>
        <v>3</v>
      </c>
      <c r="F22" s="8">
        <f t="shared" si="8"/>
        <v>3</v>
      </c>
      <c r="G22" s="8">
        <f t="shared" si="9"/>
        <v>3</v>
      </c>
      <c r="H22" s="8">
        <f t="shared" si="10"/>
        <v>3</v>
      </c>
      <c r="I22" s="22"/>
      <c r="J22" s="123"/>
      <c r="L22" s="327" t="s">
        <v>130</v>
      </c>
      <c r="M22" s="335"/>
      <c r="N22" s="328"/>
      <c r="O22" s="87">
        <v>0.34</v>
      </c>
      <c r="P22" s="88">
        <f>+O22/3</f>
        <v>0.11333333333333334</v>
      </c>
      <c r="Q22" s="324"/>
      <c r="R22" s="331"/>
      <c r="S22" s="332"/>
    </row>
    <row r="23" spans="2:19" ht="15.75" customHeight="1" x14ac:dyDescent="0.3">
      <c r="B23" s="1">
        <v>14</v>
      </c>
      <c r="C23" s="33" t="s">
        <v>14</v>
      </c>
      <c r="D23" s="9">
        <v>1</v>
      </c>
      <c r="E23" s="8">
        <f t="shared" si="7"/>
        <v>2</v>
      </c>
      <c r="F23" s="8">
        <f t="shared" si="8"/>
        <v>2</v>
      </c>
      <c r="G23" s="8">
        <f t="shared" si="9"/>
        <v>2</v>
      </c>
      <c r="H23" s="8">
        <f t="shared" si="10"/>
        <v>2</v>
      </c>
      <c r="I23" s="22"/>
      <c r="J23" s="123"/>
      <c r="P23" s="35"/>
    </row>
    <row r="24" spans="2:19" ht="15.75" customHeight="1" x14ac:dyDescent="0.3">
      <c r="B24" s="1">
        <v>15</v>
      </c>
      <c r="C24" s="33" t="s">
        <v>15</v>
      </c>
      <c r="D24" s="9">
        <v>1</v>
      </c>
      <c r="E24" s="8">
        <f t="shared" si="7"/>
        <v>2</v>
      </c>
      <c r="F24" s="8">
        <f t="shared" si="8"/>
        <v>2</v>
      </c>
      <c r="G24" s="8">
        <f t="shared" si="9"/>
        <v>2</v>
      </c>
      <c r="H24" s="8">
        <f t="shared" si="10"/>
        <v>2</v>
      </c>
      <c r="I24" s="22"/>
      <c r="J24" s="123"/>
      <c r="P24" s="35"/>
    </row>
    <row r="25" spans="2:19" ht="15.75" customHeight="1" x14ac:dyDescent="0.3">
      <c r="B25" s="1">
        <v>16</v>
      </c>
      <c r="C25" s="33" t="s">
        <v>131</v>
      </c>
      <c r="D25" s="9">
        <v>1</v>
      </c>
      <c r="E25" s="8">
        <f t="shared" si="7"/>
        <v>2</v>
      </c>
      <c r="F25" s="8">
        <f t="shared" si="8"/>
        <v>2</v>
      </c>
      <c r="G25" s="8">
        <f t="shared" si="9"/>
        <v>2</v>
      </c>
      <c r="H25" s="8">
        <f t="shared" si="10"/>
        <v>2</v>
      </c>
      <c r="I25" s="22"/>
      <c r="J25" s="123"/>
      <c r="O25" s="35"/>
    </row>
    <row r="26" spans="2:19" ht="15.75" customHeight="1" x14ac:dyDescent="0.3">
      <c r="B26" s="1">
        <v>17</v>
      </c>
      <c r="C26" s="33" t="s">
        <v>96</v>
      </c>
      <c r="D26" s="9">
        <v>4</v>
      </c>
      <c r="E26" s="8">
        <f t="shared" si="7"/>
        <v>5</v>
      </c>
      <c r="F26" s="8">
        <f t="shared" si="8"/>
        <v>5</v>
      </c>
      <c r="G26" s="8">
        <f t="shared" si="9"/>
        <v>5</v>
      </c>
      <c r="H26" s="8">
        <f t="shared" si="10"/>
        <v>5</v>
      </c>
      <c r="I26" s="22"/>
      <c r="J26" s="123"/>
      <c r="O26" s="35"/>
    </row>
    <row r="27" spans="2:19" ht="15.75" customHeight="1" x14ac:dyDescent="0.3">
      <c r="B27" s="1">
        <v>18</v>
      </c>
      <c r="C27" s="33" t="s">
        <v>97</v>
      </c>
      <c r="D27" s="9">
        <v>6</v>
      </c>
      <c r="E27" s="8">
        <f t="shared" si="7"/>
        <v>7</v>
      </c>
      <c r="F27" s="8">
        <f t="shared" si="8"/>
        <v>7</v>
      </c>
      <c r="G27" s="8">
        <f t="shared" si="9"/>
        <v>7</v>
      </c>
      <c r="H27" s="8">
        <f t="shared" si="10"/>
        <v>8</v>
      </c>
      <c r="I27" s="22"/>
      <c r="J27" s="123"/>
      <c r="O27" s="35"/>
    </row>
    <row r="28" spans="2:19" ht="15.75" customHeight="1" x14ac:dyDescent="0.3">
      <c r="B28" s="1">
        <v>19</v>
      </c>
      <c r="C28" s="33" t="s">
        <v>98</v>
      </c>
      <c r="D28" s="9">
        <v>4</v>
      </c>
      <c r="E28" s="8">
        <f t="shared" si="7"/>
        <v>5</v>
      </c>
      <c r="F28" s="8">
        <f t="shared" si="8"/>
        <v>5</v>
      </c>
      <c r="G28" s="8">
        <f t="shared" si="9"/>
        <v>5</v>
      </c>
      <c r="H28" s="8">
        <f t="shared" si="10"/>
        <v>5</v>
      </c>
      <c r="I28" s="22"/>
      <c r="J28" s="123"/>
    </row>
    <row r="29" spans="2:19" ht="15.75" customHeight="1" x14ac:dyDescent="0.3">
      <c r="B29" s="1">
        <v>20</v>
      </c>
      <c r="C29" s="44" t="s">
        <v>99</v>
      </c>
      <c r="D29" s="45">
        <v>5</v>
      </c>
      <c r="E29" s="8">
        <f t="shared" si="7"/>
        <v>6</v>
      </c>
      <c r="F29" s="8">
        <f t="shared" si="8"/>
        <v>6</v>
      </c>
      <c r="G29" s="8">
        <f t="shared" si="9"/>
        <v>6</v>
      </c>
      <c r="H29" s="8">
        <f t="shared" si="10"/>
        <v>7</v>
      </c>
      <c r="I29" s="22"/>
      <c r="J29" s="123"/>
    </row>
    <row r="30" spans="2:19" ht="15.75" customHeight="1" x14ac:dyDescent="0.3">
      <c r="B30" s="1">
        <v>21</v>
      </c>
      <c r="C30" s="46" t="s">
        <v>100</v>
      </c>
      <c r="D30" s="25">
        <v>1</v>
      </c>
      <c r="E30" s="47">
        <f t="shared" si="7"/>
        <v>2</v>
      </c>
      <c r="F30" s="8">
        <f t="shared" si="8"/>
        <v>2</v>
      </c>
      <c r="G30" s="8">
        <f t="shared" si="9"/>
        <v>2</v>
      </c>
      <c r="H30" s="8">
        <f t="shared" si="10"/>
        <v>2</v>
      </c>
      <c r="I30" s="22"/>
      <c r="J30" s="123"/>
    </row>
    <row r="31" spans="2:19" ht="15.75" customHeight="1" x14ac:dyDescent="0.3">
      <c r="B31" s="1">
        <v>22</v>
      </c>
      <c r="C31" s="46" t="s">
        <v>101</v>
      </c>
      <c r="D31" s="25">
        <v>1</v>
      </c>
      <c r="E31" s="47">
        <f t="shared" si="7"/>
        <v>2</v>
      </c>
      <c r="F31" s="8">
        <f t="shared" si="8"/>
        <v>2</v>
      </c>
      <c r="G31" s="8">
        <f t="shared" si="9"/>
        <v>2</v>
      </c>
      <c r="H31" s="8">
        <f t="shared" si="10"/>
        <v>2</v>
      </c>
      <c r="I31" s="22"/>
      <c r="J31" s="123"/>
    </row>
    <row r="32" spans="2:19" ht="15.75" customHeight="1" x14ac:dyDescent="0.3">
      <c r="B32" s="1">
        <v>23</v>
      </c>
      <c r="C32" s="48" t="s">
        <v>62</v>
      </c>
      <c r="D32" s="49">
        <f>+D4</f>
        <v>390000</v>
      </c>
      <c r="E32" s="47">
        <f t="shared" si="7"/>
        <v>409500</v>
      </c>
      <c r="F32" s="8">
        <f t="shared" ref="F32" si="11">+ROUNDUP(D32*(1+0.05)^2,0)</f>
        <v>429975</v>
      </c>
      <c r="G32" s="8">
        <f t="shared" ref="G32" si="12">+ROUNDUP(D32*(1+0.05)^3,0)</f>
        <v>451474</v>
      </c>
      <c r="H32" s="8">
        <f t="shared" ref="H32" si="13">+ROUNDUP(D32*(1+0.05)^4,0)</f>
        <v>474048</v>
      </c>
      <c r="I32" s="22"/>
      <c r="J32" s="123"/>
    </row>
    <row r="33" spans="2:10" ht="15.75" customHeight="1" x14ac:dyDescent="0.3">
      <c r="B33" s="1">
        <v>24</v>
      </c>
      <c r="C33" s="48" t="s">
        <v>17</v>
      </c>
      <c r="D33" s="49">
        <f>+D4</f>
        <v>390000</v>
      </c>
      <c r="E33" s="47">
        <f t="shared" ref="E33:E42" si="14">+ROUNDUP(D33*(1+0.05)^1,0)</f>
        <v>409500</v>
      </c>
      <c r="F33" s="8">
        <f>+ROUNDUP(D33*(1+0.05)^2,0)</f>
        <v>429975</v>
      </c>
      <c r="G33" s="8">
        <f t="shared" ref="G33:G38" si="15">+ROUNDUP(D33*(1+0.05)^3,0)</f>
        <v>451474</v>
      </c>
      <c r="H33" s="8">
        <f>+ROUNDUP(D33*(1+0.05)^4,0)</f>
        <v>474048</v>
      </c>
      <c r="I33" s="22"/>
      <c r="J33" s="123"/>
    </row>
    <row r="34" spans="2:10" ht="15.75" customHeight="1" x14ac:dyDescent="0.3">
      <c r="B34" s="1">
        <v>25</v>
      </c>
      <c r="C34" s="50" t="s">
        <v>18</v>
      </c>
      <c r="D34" s="51">
        <f t="shared" ref="D34:D38" si="16">+D33</f>
        <v>390000</v>
      </c>
      <c r="E34" s="8">
        <f t="shared" si="14"/>
        <v>409500</v>
      </c>
      <c r="F34" s="8">
        <f t="shared" ref="F34:F41" si="17">+ROUNDUP(D34*(1+0.05)^2,0)</f>
        <v>429975</v>
      </c>
      <c r="G34" s="8">
        <f t="shared" si="15"/>
        <v>451474</v>
      </c>
      <c r="H34" s="8">
        <f t="shared" ref="H34:H41" si="18">+ROUNDUP(D34*(1+0.05)^4,0)</f>
        <v>474048</v>
      </c>
      <c r="I34" s="22"/>
      <c r="J34" s="123"/>
    </row>
    <row r="35" spans="2:10" ht="15.75" customHeight="1" x14ac:dyDescent="0.3">
      <c r="B35" s="1">
        <v>26</v>
      </c>
      <c r="C35" s="50" t="s">
        <v>19</v>
      </c>
      <c r="D35" s="52">
        <f>+D34</f>
        <v>390000</v>
      </c>
      <c r="E35" s="8">
        <f t="shared" si="14"/>
        <v>409500</v>
      </c>
      <c r="F35" s="8">
        <f t="shared" si="17"/>
        <v>429975</v>
      </c>
      <c r="G35" s="8">
        <f t="shared" si="15"/>
        <v>451474</v>
      </c>
      <c r="H35" s="8">
        <f t="shared" si="18"/>
        <v>474048</v>
      </c>
      <c r="I35" s="22"/>
      <c r="J35" s="123"/>
    </row>
    <row r="36" spans="2:10" ht="15.75" customHeight="1" x14ac:dyDescent="0.3">
      <c r="B36" s="1">
        <v>27</v>
      </c>
      <c r="C36" s="50" t="s">
        <v>20</v>
      </c>
      <c r="D36" s="52">
        <f t="shared" si="16"/>
        <v>390000</v>
      </c>
      <c r="E36" s="8">
        <f t="shared" si="14"/>
        <v>409500</v>
      </c>
      <c r="F36" s="8">
        <f t="shared" si="17"/>
        <v>429975</v>
      </c>
      <c r="G36" s="8">
        <f t="shared" si="15"/>
        <v>451474</v>
      </c>
      <c r="H36" s="8">
        <f t="shared" si="18"/>
        <v>474048</v>
      </c>
      <c r="I36" s="22"/>
      <c r="J36" s="123"/>
    </row>
    <row r="37" spans="2:10" ht="15.75" customHeight="1" x14ac:dyDescent="0.3">
      <c r="B37" s="1">
        <v>28</v>
      </c>
      <c r="C37" s="50" t="s">
        <v>21</v>
      </c>
      <c r="D37" s="52">
        <f t="shared" si="16"/>
        <v>390000</v>
      </c>
      <c r="E37" s="8">
        <f t="shared" si="14"/>
        <v>409500</v>
      </c>
      <c r="F37" s="8">
        <f t="shared" si="17"/>
        <v>429975</v>
      </c>
      <c r="G37" s="8">
        <f t="shared" si="15"/>
        <v>451474</v>
      </c>
      <c r="H37" s="8">
        <f t="shared" si="18"/>
        <v>474048</v>
      </c>
      <c r="I37" s="22"/>
      <c r="J37" s="123"/>
    </row>
    <row r="38" spans="2:10" ht="15.75" customHeight="1" x14ac:dyDescent="0.3">
      <c r="B38" s="1">
        <v>29</v>
      </c>
      <c r="C38" s="50" t="s">
        <v>22</v>
      </c>
      <c r="D38" s="52">
        <f t="shared" si="16"/>
        <v>390000</v>
      </c>
      <c r="E38" s="8">
        <f t="shared" si="14"/>
        <v>409500</v>
      </c>
      <c r="F38" s="8">
        <f t="shared" si="17"/>
        <v>429975</v>
      </c>
      <c r="G38" s="8">
        <f t="shared" si="15"/>
        <v>451474</v>
      </c>
      <c r="H38" s="8">
        <f t="shared" si="18"/>
        <v>474048</v>
      </c>
      <c r="I38" s="22"/>
      <c r="J38" s="123"/>
    </row>
    <row r="39" spans="2:10" ht="15.75" customHeight="1" x14ac:dyDescent="0.3">
      <c r="B39" s="1">
        <v>30</v>
      </c>
      <c r="C39" s="50" t="s">
        <v>133</v>
      </c>
      <c r="D39" s="52">
        <f>+D4</f>
        <v>390000</v>
      </c>
      <c r="E39" s="8">
        <f t="shared" si="14"/>
        <v>409500</v>
      </c>
      <c r="F39" s="8">
        <f t="shared" si="17"/>
        <v>429975</v>
      </c>
      <c r="G39" s="8">
        <f t="shared" ref="G39:G41" si="19">+ROUNDUP(D39*(1+0.05)^3,0)</f>
        <v>451474</v>
      </c>
      <c r="H39" s="8">
        <f t="shared" si="18"/>
        <v>474048</v>
      </c>
      <c r="I39" s="22"/>
      <c r="J39" s="123"/>
    </row>
    <row r="40" spans="2:10" ht="15.75" customHeight="1" x14ac:dyDescent="0.3">
      <c r="B40" s="1">
        <v>31</v>
      </c>
      <c r="C40" s="50" t="s">
        <v>24</v>
      </c>
      <c r="D40" s="52">
        <f>1000*12</f>
        <v>12000</v>
      </c>
      <c r="E40" s="8">
        <f t="shared" si="14"/>
        <v>12600</v>
      </c>
      <c r="F40" s="8">
        <f t="shared" si="17"/>
        <v>13230</v>
      </c>
      <c r="G40" s="8">
        <f t="shared" si="19"/>
        <v>13892</v>
      </c>
      <c r="H40" s="8">
        <f t="shared" si="18"/>
        <v>14587</v>
      </c>
      <c r="I40" s="22"/>
      <c r="J40" s="123"/>
    </row>
    <row r="41" spans="2:10" ht="15.75" customHeight="1" x14ac:dyDescent="0.3">
      <c r="B41" s="1">
        <v>32</v>
      </c>
      <c r="C41" s="53" t="s">
        <v>25</v>
      </c>
      <c r="D41" s="52">
        <f>500*12</f>
        <v>6000</v>
      </c>
      <c r="E41" s="8">
        <f t="shared" si="14"/>
        <v>6300</v>
      </c>
      <c r="F41" s="8">
        <f t="shared" si="17"/>
        <v>6615</v>
      </c>
      <c r="G41" s="8">
        <f t="shared" si="19"/>
        <v>6946</v>
      </c>
      <c r="H41" s="8">
        <f t="shared" si="18"/>
        <v>7294</v>
      </c>
      <c r="I41" s="22"/>
      <c r="J41" s="123"/>
    </row>
    <row r="42" spans="2:10" ht="15.75" customHeight="1" x14ac:dyDescent="0.3">
      <c r="B42" s="1">
        <v>33</v>
      </c>
      <c r="C42" s="36" t="s">
        <v>115</v>
      </c>
      <c r="D42" s="25">
        <f>+D4</f>
        <v>390000</v>
      </c>
      <c r="E42" s="47">
        <f t="shared" si="14"/>
        <v>409500</v>
      </c>
      <c r="F42" s="8">
        <f t="shared" ref="F42" si="20">+ROUNDUP(D42*(1+0.05)^2,0)</f>
        <v>429975</v>
      </c>
      <c r="G42" s="8">
        <f t="shared" ref="G42" si="21">+ROUNDUP(D42*(1+0.05)^3,0)</f>
        <v>451474</v>
      </c>
      <c r="H42" s="8">
        <f t="shared" ref="H42" si="22">+ROUNDUP(D42*(1+0.05)^4,0)</f>
        <v>474048</v>
      </c>
      <c r="I42" s="22"/>
      <c r="J42" s="123"/>
    </row>
    <row r="43" spans="2:10" ht="15.75" customHeight="1" x14ac:dyDescent="0.3">
      <c r="F43" s="3"/>
      <c r="G43" s="3"/>
      <c r="H43" s="3"/>
      <c r="I43" s="3"/>
      <c r="J43" s="92"/>
    </row>
    <row r="44" spans="2:10" ht="15.75" customHeight="1" x14ac:dyDescent="0.3">
      <c r="F44" s="3"/>
      <c r="G44" s="3"/>
      <c r="H44" s="3"/>
      <c r="I44" s="3"/>
      <c r="J44" s="92"/>
    </row>
    <row r="45" spans="2:10" ht="15.75" customHeight="1" x14ac:dyDescent="0.3">
      <c r="F45" s="3"/>
      <c r="G45" s="3"/>
      <c r="H45" s="3"/>
      <c r="I45" s="3"/>
      <c r="J45" s="92"/>
    </row>
    <row r="46" spans="2:10" ht="15.75" customHeight="1" x14ac:dyDescent="0.3">
      <c r="F46" s="3"/>
      <c r="G46" s="3"/>
      <c r="H46" s="3"/>
      <c r="I46" s="3"/>
      <c r="J46" s="92"/>
    </row>
    <row r="47" spans="2:10" ht="15.75" customHeight="1" x14ac:dyDescent="0.3">
      <c r="F47" s="3"/>
      <c r="G47" s="3"/>
      <c r="H47" s="3"/>
      <c r="I47" s="3"/>
      <c r="J47" s="92"/>
    </row>
    <row r="48" spans="2:10" ht="15.75" customHeight="1" x14ac:dyDescent="0.3">
      <c r="F48" s="3"/>
      <c r="G48" s="3"/>
      <c r="H48" s="3"/>
      <c r="I48" s="3"/>
      <c r="J48" s="92"/>
    </row>
    <row r="49" spans="4:10" ht="15.75" customHeight="1" x14ac:dyDescent="0.3">
      <c r="F49" s="3"/>
      <c r="G49" s="3"/>
      <c r="H49" s="3"/>
      <c r="I49" s="3"/>
      <c r="J49" s="92"/>
    </row>
    <row r="50" spans="4:10" ht="15.75" customHeight="1" x14ac:dyDescent="0.3">
      <c r="F50" s="3"/>
      <c r="G50" s="3"/>
      <c r="H50" s="3"/>
      <c r="I50" s="3"/>
      <c r="J50" s="92"/>
    </row>
    <row r="51" spans="4:10" ht="15.75" customHeight="1" x14ac:dyDescent="0.3">
      <c r="F51" s="3"/>
      <c r="G51" s="3"/>
      <c r="H51" s="3"/>
      <c r="I51" s="3"/>
      <c r="J51" s="92"/>
    </row>
    <row r="52" spans="4:10" ht="15.75" customHeight="1" x14ac:dyDescent="0.3">
      <c r="F52" s="3"/>
      <c r="G52" s="3"/>
      <c r="H52" s="3"/>
      <c r="I52" s="3"/>
      <c r="J52" s="92"/>
    </row>
    <row r="53" spans="4:10" ht="15.75" customHeight="1" x14ac:dyDescent="0.3">
      <c r="F53" s="3"/>
      <c r="G53" s="3"/>
      <c r="H53" s="3"/>
      <c r="I53" s="3"/>
      <c r="J53" s="92"/>
    </row>
    <row r="54" spans="4:10" ht="15.75" customHeight="1" x14ac:dyDescent="0.3">
      <c r="F54" s="3"/>
      <c r="G54" s="3"/>
      <c r="H54" s="3"/>
      <c r="I54" s="3"/>
      <c r="J54" s="92"/>
    </row>
    <row r="55" spans="4:10" ht="15.75" customHeight="1" x14ac:dyDescent="0.3">
      <c r="F55" s="3"/>
      <c r="G55" s="3"/>
      <c r="H55" s="3"/>
      <c r="I55" s="3"/>
      <c r="J55" s="92"/>
    </row>
    <row r="56" spans="4:10" ht="15.75" customHeight="1" x14ac:dyDescent="0.3">
      <c r="D56" s="3"/>
      <c r="E56" s="3"/>
      <c r="F56" s="3"/>
      <c r="G56" s="3"/>
      <c r="H56" s="3"/>
      <c r="I56" s="3"/>
      <c r="J56" s="92"/>
    </row>
    <row r="57" spans="4:10" ht="15.75" customHeight="1" x14ac:dyDescent="0.3">
      <c r="D57" s="3"/>
      <c r="E57" s="3"/>
      <c r="F57" s="3"/>
      <c r="G57" s="3"/>
      <c r="H57" s="3"/>
      <c r="I57" s="3"/>
      <c r="J57" s="92"/>
    </row>
    <row r="58" spans="4:10" ht="15.75" customHeight="1" x14ac:dyDescent="0.3">
      <c r="D58" s="3"/>
      <c r="E58" s="3"/>
      <c r="F58" s="3"/>
      <c r="G58" s="3"/>
      <c r="H58" s="3"/>
      <c r="I58" s="3"/>
      <c r="J58" s="92"/>
    </row>
    <row r="59" spans="4:10" ht="15.75" customHeight="1" x14ac:dyDescent="0.3">
      <c r="D59" s="3"/>
      <c r="E59" s="3"/>
      <c r="F59" s="3"/>
      <c r="G59" s="3"/>
      <c r="H59" s="3"/>
      <c r="I59" s="3"/>
      <c r="J59" s="92"/>
    </row>
    <row r="60" spans="4:10" ht="15.75" customHeight="1" x14ac:dyDescent="0.3">
      <c r="D60" s="3"/>
      <c r="E60" s="3"/>
      <c r="F60" s="3"/>
      <c r="G60" s="3"/>
      <c r="H60" s="3"/>
      <c r="I60" s="3"/>
      <c r="J60" s="92"/>
    </row>
    <row r="61" spans="4:10" ht="15.75" customHeight="1" x14ac:dyDescent="0.3">
      <c r="D61" s="3"/>
      <c r="E61" s="3"/>
      <c r="F61" s="3"/>
      <c r="G61" s="3"/>
      <c r="H61" s="3"/>
      <c r="I61" s="3"/>
      <c r="J61" s="92"/>
    </row>
    <row r="62" spans="4:10" ht="15.75" customHeight="1" x14ac:dyDescent="0.3">
      <c r="D62" s="3"/>
      <c r="E62" s="3"/>
      <c r="F62" s="3"/>
      <c r="G62" s="3"/>
      <c r="H62" s="3"/>
      <c r="I62" s="3"/>
      <c r="J62" s="92"/>
    </row>
    <row r="63" spans="4:10" ht="15.75" customHeight="1" x14ac:dyDescent="0.3">
      <c r="D63" s="3"/>
      <c r="E63" s="3"/>
      <c r="F63" s="3"/>
      <c r="G63" s="3"/>
      <c r="H63" s="3"/>
      <c r="I63" s="3"/>
      <c r="J63" s="92"/>
    </row>
    <row r="64" spans="4:10" ht="15.75" customHeight="1" x14ac:dyDescent="0.3">
      <c r="D64" s="3"/>
      <c r="E64" s="3"/>
      <c r="F64" s="3"/>
      <c r="G64" s="3"/>
      <c r="H64" s="3"/>
      <c r="I64" s="3"/>
      <c r="J64" s="92"/>
    </row>
    <row r="65" spans="4:10" ht="15.75" customHeight="1" x14ac:dyDescent="0.3">
      <c r="D65" s="3"/>
      <c r="E65" s="3"/>
      <c r="F65" s="3"/>
      <c r="G65" s="3"/>
      <c r="H65" s="3"/>
      <c r="I65" s="3"/>
      <c r="J65" s="92"/>
    </row>
    <row r="66" spans="4:10" ht="15.75" customHeight="1" x14ac:dyDescent="0.3">
      <c r="D66" s="3"/>
      <c r="E66" s="3"/>
      <c r="F66" s="3"/>
      <c r="G66" s="3"/>
      <c r="H66" s="3"/>
      <c r="I66" s="3"/>
      <c r="J66" s="92"/>
    </row>
    <row r="67" spans="4:10" ht="15.75" customHeight="1" x14ac:dyDescent="0.3">
      <c r="D67" s="3"/>
      <c r="E67" s="3"/>
      <c r="F67" s="3"/>
      <c r="G67" s="3"/>
      <c r="H67" s="3"/>
      <c r="I67" s="3"/>
      <c r="J67" s="92"/>
    </row>
    <row r="68" spans="4:10" ht="15.75" customHeight="1" x14ac:dyDescent="0.3">
      <c r="D68" s="3"/>
      <c r="E68" s="3"/>
      <c r="F68" s="3"/>
      <c r="G68" s="3"/>
      <c r="H68" s="3"/>
      <c r="I68" s="3"/>
      <c r="J68" s="92"/>
    </row>
    <row r="69" spans="4:10" ht="15.75" customHeight="1" x14ac:dyDescent="0.3">
      <c r="D69" s="3"/>
      <c r="E69" s="3"/>
      <c r="F69" s="3"/>
      <c r="G69" s="3"/>
      <c r="H69" s="3"/>
      <c r="I69" s="3"/>
      <c r="J69" s="92"/>
    </row>
    <row r="70" spans="4:10" ht="15.75" customHeight="1" x14ac:dyDescent="0.3">
      <c r="D70" s="3"/>
      <c r="E70" s="3"/>
      <c r="F70" s="3"/>
      <c r="G70" s="3"/>
      <c r="H70" s="3"/>
      <c r="I70" s="3"/>
      <c r="J70" s="92"/>
    </row>
    <row r="71" spans="4:10" ht="15.75" customHeight="1" x14ac:dyDescent="0.3">
      <c r="D71" s="3"/>
      <c r="E71" s="3"/>
      <c r="F71" s="3"/>
      <c r="G71" s="3"/>
      <c r="H71" s="3"/>
      <c r="I71" s="3"/>
      <c r="J71" s="92"/>
    </row>
    <row r="72" spans="4:10" ht="15.75" customHeight="1" x14ac:dyDescent="0.3">
      <c r="D72" s="3"/>
      <c r="E72" s="3"/>
      <c r="F72" s="3"/>
      <c r="G72" s="3"/>
      <c r="H72" s="3"/>
      <c r="I72" s="3"/>
      <c r="J72" s="92"/>
    </row>
    <row r="73" spans="4:10" ht="15.75" customHeight="1" x14ac:dyDescent="0.3">
      <c r="D73" s="3"/>
      <c r="E73" s="3"/>
      <c r="F73" s="3"/>
      <c r="G73" s="3"/>
      <c r="H73" s="3"/>
      <c r="I73" s="3"/>
      <c r="J73" s="92"/>
    </row>
    <row r="74" spans="4:10" ht="15.75" customHeight="1" x14ac:dyDescent="0.3">
      <c r="D74" s="3"/>
      <c r="E74" s="3"/>
      <c r="F74" s="3"/>
      <c r="G74" s="3"/>
      <c r="H74" s="3"/>
      <c r="I74" s="3"/>
      <c r="J74" s="92"/>
    </row>
    <row r="75" spans="4:10" ht="15.75" customHeight="1" x14ac:dyDescent="0.3">
      <c r="D75" s="3"/>
      <c r="E75" s="3"/>
      <c r="F75" s="3"/>
      <c r="G75" s="3"/>
      <c r="H75" s="3"/>
      <c r="I75" s="3"/>
      <c r="J75" s="92"/>
    </row>
    <row r="76" spans="4:10" ht="15.75" customHeight="1" x14ac:dyDescent="0.3">
      <c r="D76" s="3"/>
      <c r="E76" s="3"/>
      <c r="F76" s="3"/>
      <c r="G76" s="3"/>
      <c r="H76" s="3"/>
      <c r="I76" s="3"/>
      <c r="J76" s="92"/>
    </row>
    <row r="77" spans="4:10" ht="15.75" customHeight="1" x14ac:dyDescent="0.3">
      <c r="D77" s="3"/>
      <c r="E77" s="3"/>
      <c r="F77" s="3"/>
      <c r="G77" s="3"/>
      <c r="H77" s="3"/>
      <c r="I77" s="3"/>
      <c r="J77" s="92"/>
    </row>
    <row r="78" spans="4:10" ht="15.75" customHeight="1" x14ac:dyDescent="0.3">
      <c r="D78" s="3"/>
      <c r="E78" s="3"/>
      <c r="F78" s="3"/>
      <c r="G78" s="3"/>
      <c r="H78" s="3"/>
      <c r="I78" s="3"/>
      <c r="J78" s="92"/>
    </row>
    <row r="79" spans="4:10" ht="15.75" customHeight="1" x14ac:dyDescent="0.3">
      <c r="D79" s="3"/>
      <c r="E79" s="3"/>
      <c r="F79" s="3"/>
      <c r="G79" s="3"/>
      <c r="H79" s="3"/>
      <c r="I79" s="3"/>
      <c r="J79" s="92"/>
    </row>
    <row r="80" spans="4:10" ht="15.75" customHeight="1" x14ac:dyDescent="0.3">
      <c r="D80" s="3"/>
      <c r="E80" s="3"/>
      <c r="F80" s="3"/>
      <c r="G80" s="3"/>
      <c r="H80" s="3"/>
      <c r="I80" s="3"/>
      <c r="J80" s="92"/>
    </row>
    <row r="81" spans="4:10" ht="15.75" customHeight="1" x14ac:dyDescent="0.3">
      <c r="D81" s="3"/>
      <c r="E81" s="3"/>
      <c r="F81" s="3"/>
      <c r="G81" s="3"/>
      <c r="H81" s="3"/>
      <c r="I81" s="3"/>
      <c r="J81" s="92"/>
    </row>
    <row r="82" spans="4:10" ht="15.75" customHeight="1" x14ac:dyDescent="0.3">
      <c r="D82" s="3"/>
      <c r="E82" s="3"/>
      <c r="F82" s="3"/>
      <c r="G82" s="3"/>
      <c r="H82" s="3"/>
      <c r="I82" s="3"/>
      <c r="J82" s="92"/>
    </row>
    <row r="83" spans="4:10" ht="15.75" customHeight="1" x14ac:dyDescent="0.3">
      <c r="D83" s="3"/>
      <c r="E83" s="3"/>
      <c r="F83" s="3"/>
      <c r="G83" s="3"/>
      <c r="H83" s="3"/>
      <c r="I83" s="3"/>
      <c r="J83" s="92"/>
    </row>
    <row r="84" spans="4:10" ht="15.75" customHeight="1" x14ac:dyDescent="0.3">
      <c r="D84" s="3"/>
      <c r="E84" s="3"/>
      <c r="F84" s="3"/>
      <c r="G84" s="3"/>
      <c r="H84" s="3"/>
      <c r="I84" s="3"/>
      <c r="J84" s="92"/>
    </row>
    <row r="85" spans="4:10" ht="15.75" customHeight="1" x14ac:dyDescent="0.3">
      <c r="D85" s="3"/>
      <c r="E85" s="3"/>
      <c r="F85" s="3"/>
      <c r="G85" s="3"/>
      <c r="H85" s="3"/>
      <c r="I85" s="3"/>
      <c r="J85" s="92"/>
    </row>
    <row r="86" spans="4:10" ht="15.75" customHeight="1" x14ac:dyDescent="0.3">
      <c r="D86" s="3"/>
      <c r="E86" s="3"/>
      <c r="F86" s="3"/>
      <c r="G86" s="3"/>
      <c r="H86" s="3"/>
      <c r="I86" s="3"/>
      <c r="J86" s="92"/>
    </row>
    <row r="87" spans="4:10" ht="15.75" customHeight="1" x14ac:dyDescent="0.3">
      <c r="D87" s="3"/>
      <c r="E87" s="3"/>
      <c r="F87" s="3"/>
      <c r="G87" s="3"/>
      <c r="H87" s="3"/>
      <c r="I87" s="3"/>
      <c r="J87" s="92"/>
    </row>
    <row r="88" spans="4:10" ht="15.75" customHeight="1" x14ac:dyDescent="0.3">
      <c r="D88" s="3"/>
      <c r="E88" s="3"/>
      <c r="F88" s="3"/>
      <c r="G88" s="3"/>
      <c r="H88" s="3"/>
      <c r="I88" s="3"/>
      <c r="J88" s="92"/>
    </row>
    <row r="89" spans="4:10" ht="15.75" customHeight="1" x14ac:dyDescent="0.3">
      <c r="D89" s="3"/>
      <c r="E89" s="3"/>
      <c r="F89" s="3"/>
      <c r="G89" s="3"/>
      <c r="H89" s="3"/>
      <c r="I89" s="3"/>
      <c r="J89" s="92"/>
    </row>
    <row r="90" spans="4:10" ht="15.75" customHeight="1" x14ac:dyDescent="0.3">
      <c r="D90" s="3"/>
      <c r="E90" s="3"/>
      <c r="F90" s="3"/>
      <c r="G90" s="3"/>
      <c r="H90" s="3"/>
      <c r="I90" s="3"/>
      <c r="J90" s="92"/>
    </row>
    <row r="91" spans="4:10" ht="15.75" customHeight="1" x14ac:dyDescent="0.3">
      <c r="D91" s="3"/>
      <c r="E91" s="3"/>
      <c r="F91" s="3"/>
      <c r="G91" s="3"/>
      <c r="H91" s="3"/>
      <c r="I91" s="3"/>
      <c r="J91" s="92"/>
    </row>
    <row r="92" spans="4:10" ht="15.75" customHeight="1" x14ac:dyDescent="0.3">
      <c r="D92" s="3"/>
      <c r="E92" s="3"/>
      <c r="F92" s="3"/>
      <c r="G92" s="3"/>
      <c r="H92" s="3"/>
      <c r="I92" s="3"/>
      <c r="J92" s="92"/>
    </row>
    <row r="93" spans="4:10" ht="15.75" customHeight="1" x14ac:dyDescent="0.3">
      <c r="D93" s="3"/>
      <c r="E93" s="3"/>
      <c r="F93" s="3"/>
      <c r="G93" s="3"/>
      <c r="H93" s="3"/>
      <c r="I93" s="3"/>
      <c r="J93" s="92"/>
    </row>
    <row r="94" spans="4:10" ht="15.75" customHeight="1" x14ac:dyDescent="0.3">
      <c r="D94" s="3"/>
      <c r="E94" s="3"/>
      <c r="F94" s="3"/>
      <c r="G94" s="3"/>
      <c r="H94" s="3"/>
      <c r="I94" s="3"/>
      <c r="J94" s="92"/>
    </row>
    <row r="95" spans="4:10" ht="15.75" customHeight="1" x14ac:dyDescent="0.3">
      <c r="D95" s="3"/>
      <c r="E95" s="3"/>
      <c r="F95" s="3"/>
      <c r="G95" s="3"/>
      <c r="H95" s="3"/>
      <c r="I95" s="3"/>
      <c r="J95" s="92"/>
    </row>
    <row r="96" spans="4:10" ht="15.75" customHeight="1" x14ac:dyDescent="0.3">
      <c r="D96" s="3"/>
      <c r="E96" s="3"/>
      <c r="F96" s="3"/>
      <c r="G96" s="3"/>
      <c r="H96" s="3"/>
      <c r="I96" s="3"/>
      <c r="J96" s="92"/>
    </row>
    <row r="97" spans="4:10" ht="15.75" customHeight="1" x14ac:dyDescent="0.3">
      <c r="D97" s="3"/>
      <c r="E97" s="3"/>
      <c r="F97" s="3"/>
      <c r="G97" s="3"/>
      <c r="H97" s="3"/>
      <c r="I97" s="3"/>
      <c r="J97" s="92"/>
    </row>
    <row r="98" spans="4:10" ht="15.75" customHeight="1" x14ac:dyDescent="0.3">
      <c r="D98" s="3"/>
      <c r="E98" s="3"/>
      <c r="F98" s="3"/>
      <c r="G98" s="3"/>
      <c r="H98" s="3"/>
      <c r="I98" s="3"/>
      <c r="J98" s="92"/>
    </row>
    <row r="99" spans="4:10" ht="15.75" customHeight="1" x14ac:dyDescent="0.3">
      <c r="D99" s="3"/>
      <c r="E99" s="3"/>
      <c r="F99" s="3"/>
      <c r="G99" s="3"/>
      <c r="H99" s="3"/>
      <c r="I99" s="3"/>
      <c r="J99" s="92"/>
    </row>
    <row r="100" spans="4:10" ht="15.75" customHeight="1" x14ac:dyDescent="0.3">
      <c r="D100" s="3"/>
      <c r="E100" s="3"/>
      <c r="F100" s="3"/>
      <c r="G100" s="3"/>
      <c r="H100" s="3"/>
      <c r="I100" s="3"/>
      <c r="J100" s="92"/>
    </row>
    <row r="101" spans="4:10" ht="15.75" customHeight="1" x14ac:dyDescent="0.3">
      <c r="D101" s="3"/>
      <c r="E101" s="3"/>
      <c r="F101" s="3"/>
      <c r="G101" s="3"/>
      <c r="H101" s="3"/>
      <c r="I101" s="3"/>
      <c r="J101" s="92"/>
    </row>
    <row r="102" spans="4:10" ht="15.75" customHeight="1" x14ac:dyDescent="0.3">
      <c r="D102" s="3"/>
      <c r="E102" s="3"/>
      <c r="F102" s="3"/>
      <c r="G102" s="3"/>
      <c r="H102" s="3"/>
      <c r="I102" s="3"/>
      <c r="J102" s="92"/>
    </row>
    <row r="103" spans="4:10" ht="15.75" customHeight="1" x14ac:dyDescent="0.3">
      <c r="D103" s="3"/>
      <c r="E103" s="3"/>
      <c r="F103" s="3"/>
      <c r="G103" s="3"/>
      <c r="H103" s="3"/>
      <c r="I103" s="3"/>
      <c r="J103" s="92"/>
    </row>
    <row r="104" spans="4:10" ht="15.75" customHeight="1" x14ac:dyDescent="0.3">
      <c r="D104" s="3"/>
      <c r="E104" s="3"/>
      <c r="F104" s="3"/>
      <c r="G104" s="3"/>
      <c r="H104" s="3"/>
      <c r="I104" s="3"/>
      <c r="J104" s="92"/>
    </row>
    <row r="105" spans="4:10" ht="15.75" customHeight="1" x14ac:dyDescent="0.3">
      <c r="D105" s="3"/>
      <c r="E105" s="3"/>
      <c r="F105" s="3"/>
      <c r="G105" s="3"/>
      <c r="H105" s="3"/>
      <c r="I105" s="3"/>
      <c r="J105" s="92"/>
    </row>
    <row r="106" spans="4:10" ht="15.75" customHeight="1" x14ac:dyDescent="0.3">
      <c r="D106" s="3"/>
      <c r="E106" s="3"/>
      <c r="F106" s="3"/>
      <c r="G106" s="3"/>
      <c r="H106" s="3"/>
      <c r="I106" s="3"/>
      <c r="J106" s="92"/>
    </row>
    <row r="107" spans="4:10" ht="15.75" customHeight="1" x14ac:dyDescent="0.3">
      <c r="D107" s="3"/>
      <c r="E107" s="3"/>
      <c r="F107" s="3"/>
      <c r="G107" s="3"/>
      <c r="H107" s="3"/>
      <c r="I107" s="3"/>
      <c r="J107" s="92"/>
    </row>
    <row r="108" spans="4:10" ht="15.75" customHeight="1" x14ac:dyDescent="0.3">
      <c r="D108" s="3"/>
      <c r="E108" s="3"/>
      <c r="F108" s="3"/>
      <c r="G108" s="3"/>
      <c r="H108" s="3"/>
      <c r="I108" s="3"/>
      <c r="J108" s="92"/>
    </row>
    <row r="109" spans="4:10" ht="15.75" customHeight="1" x14ac:dyDescent="0.3">
      <c r="D109" s="3"/>
      <c r="E109" s="3"/>
      <c r="F109" s="3"/>
      <c r="G109" s="3"/>
      <c r="H109" s="3"/>
      <c r="I109" s="3"/>
      <c r="J109" s="92"/>
    </row>
    <row r="110" spans="4:10" ht="15.75" customHeight="1" x14ac:dyDescent="0.3">
      <c r="D110" s="3"/>
      <c r="E110" s="3"/>
      <c r="F110" s="3"/>
      <c r="G110" s="3"/>
      <c r="H110" s="3"/>
      <c r="I110" s="3"/>
      <c r="J110" s="92"/>
    </row>
    <row r="111" spans="4:10" ht="15.75" customHeight="1" x14ac:dyDescent="0.3">
      <c r="D111" s="3"/>
      <c r="E111" s="3"/>
      <c r="F111" s="3"/>
      <c r="G111" s="3"/>
      <c r="H111" s="3"/>
      <c r="I111" s="3"/>
      <c r="J111" s="92"/>
    </row>
    <row r="112" spans="4:10" ht="15.75" customHeight="1" x14ac:dyDescent="0.3">
      <c r="D112" s="3"/>
      <c r="E112" s="3"/>
      <c r="F112" s="3"/>
      <c r="G112" s="3"/>
      <c r="H112" s="3"/>
      <c r="I112" s="3"/>
      <c r="J112" s="92"/>
    </row>
    <row r="113" spans="4:10" ht="15.75" customHeight="1" x14ac:dyDescent="0.3">
      <c r="D113" s="3"/>
      <c r="E113" s="3"/>
      <c r="F113" s="3"/>
      <c r="G113" s="3"/>
      <c r="H113" s="3"/>
      <c r="I113" s="3"/>
      <c r="J113" s="92"/>
    </row>
    <row r="114" spans="4:10" ht="15.75" customHeight="1" x14ac:dyDescent="0.3">
      <c r="D114" s="3"/>
      <c r="E114" s="3"/>
      <c r="F114" s="3"/>
      <c r="G114" s="3"/>
      <c r="H114" s="3"/>
      <c r="I114" s="3"/>
      <c r="J114" s="92"/>
    </row>
    <row r="115" spans="4:10" ht="15.75" customHeight="1" x14ac:dyDescent="0.3">
      <c r="D115" s="3"/>
      <c r="E115" s="3"/>
      <c r="F115" s="3"/>
      <c r="G115" s="3"/>
      <c r="H115" s="3"/>
      <c r="I115" s="3"/>
      <c r="J115" s="92"/>
    </row>
    <row r="116" spans="4:10" ht="15.75" customHeight="1" x14ac:dyDescent="0.3">
      <c r="D116" s="3"/>
      <c r="E116" s="3"/>
      <c r="F116" s="3"/>
      <c r="G116" s="3"/>
      <c r="H116" s="3"/>
      <c r="I116" s="3"/>
      <c r="J116" s="92"/>
    </row>
    <row r="117" spans="4:10" ht="15.75" customHeight="1" x14ac:dyDescent="0.3">
      <c r="D117" s="3"/>
      <c r="E117" s="3"/>
      <c r="F117" s="3"/>
      <c r="G117" s="3"/>
      <c r="H117" s="3"/>
      <c r="I117" s="3"/>
      <c r="J117" s="92"/>
    </row>
    <row r="118" spans="4:10" ht="15.75" customHeight="1" x14ac:dyDescent="0.3">
      <c r="D118" s="3"/>
      <c r="E118" s="3"/>
      <c r="F118" s="3"/>
      <c r="G118" s="3"/>
      <c r="H118" s="3"/>
      <c r="I118" s="3"/>
      <c r="J118" s="92"/>
    </row>
    <row r="119" spans="4:10" ht="15.75" customHeight="1" x14ac:dyDescent="0.3">
      <c r="D119" s="3"/>
      <c r="E119" s="3"/>
      <c r="F119" s="3"/>
      <c r="G119" s="3"/>
      <c r="H119" s="3"/>
      <c r="I119" s="3"/>
      <c r="J119" s="92"/>
    </row>
    <row r="120" spans="4:10" ht="15.75" customHeight="1" x14ac:dyDescent="0.3">
      <c r="D120" s="3"/>
      <c r="E120" s="3"/>
      <c r="F120" s="3"/>
      <c r="G120" s="3"/>
      <c r="H120" s="3"/>
      <c r="I120" s="3"/>
      <c r="J120" s="92"/>
    </row>
    <row r="121" spans="4:10" ht="15.75" customHeight="1" x14ac:dyDescent="0.3">
      <c r="D121" s="3"/>
      <c r="E121" s="3"/>
      <c r="F121" s="3"/>
      <c r="G121" s="3"/>
      <c r="H121" s="3"/>
      <c r="I121" s="3"/>
      <c r="J121" s="92"/>
    </row>
    <row r="122" spans="4:10" ht="15.75" customHeight="1" x14ac:dyDescent="0.3">
      <c r="D122" s="3"/>
      <c r="E122" s="3"/>
      <c r="F122" s="3"/>
      <c r="G122" s="3"/>
      <c r="H122" s="3"/>
      <c r="I122" s="3"/>
      <c r="J122" s="92"/>
    </row>
    <row r="123" spans="4:10" ht="15.75" customHeight="1" x14ac:dyDescent="0.3">
      <c r="D123" s="3"/>
      <c r="E123" s="3"/>
      <c r="F123" s="3"/>
      <c r="G123" s="3"/>
      <c r="H123" s="3"/>
      <c r="I123" s="3"/>
      <c r="J123" s="92"/>
    </row>
    <row r="124" spans="4:10" ht="15.75" customHeight="1" x14ac:dyDescent="0.3">
      <c r="D124" s="3"/>
      <c r="E124" s="3"/>
      <c r="F124" s="3"/>
      <c r="G124" s="3"/>
      <c r="H124" s="3"/>
      <c r="I124" s="3"/>
      <c r="J124" s="92"/>
    </row>
    <row r="125" spans="4:10" ht="15.75" customHeight="1" x14ac:dyDescent="0.3">
      <c r="D125" s="3"/>
      <c r="E125" s="3"/>
      <c r="F125" s="3"/>
      <c r="G125" s="3"/>
      <c r="H125" s="3"/>
      <c r="I125" s="3"/>
      <c r="J125" s="92"/>
    </row>
    <row r="126" spans="4:10" ht="15.75" customHeight="1" x14ac:dyDescent="0.3">
      <c r="D126" s="3"/>
      <c r="E126" s="3"/>
      <c r="F126" s="3"/>
      <c r="G126" s="3"/>
      <c r="H126" s="3"/>
      <c r="I126" s="3"/>
      <c r="J126" s="92"/>
    </row>
    <row r="127" spans="4:10" ht="15.75" customHeight="1" x14ac:dyDescent="0.3">
      <c r="D127" s="3"/>
      <c r="E127" s="3"/>
      <c r="F127" s="3"/>
      <c r="G127" s="3"/>
      <c r="H127" s="3"/>
      <c r="I127" s="3"/>
      <c r="J127" s="92"/>
    </row>
    <row r="128" spans="4:10" ht="15.75" customHeight="1" x14ac:dyDescent="0.3">
      <c r="D128" s="3"/>
      <c r="E128" s="3"/>
      <c r="F128" s="3"/>
      <c r="G128" s="3"/>
      <c r="H128" s="3"/>
      <c r="I128" s="3"/>
      <c r="J128" s="92"/>
    </row>
    <row r="129" spans="4:10" ht="15.75" customHeight="1" x14ac:dyDescent="0.3">
      <c r="D129" s="3"/>
      <c r="E129" s="3"/>
      <c r="F129" s="3"/>
      <c r="G129" s="3"/>
      <c r="H129" s="3"/>
      <c r="I129" s="3"/>
      <c r="J129" s="92"/>
    </row>
    <row r="130" spans="4:10" ht="15.75" customHeight="1" x14ac:dyDescent="0.3">
      <c r="D130" s="3"/>
      <c r="E130" s="3"/>
      <c r="F130" s="3"/>
      <c r="G130" s="3"/>
      <c r="H130" s="3"/>
      <c r="I130" s="3"/>
      <c r="J130" s="92"/>
    </row>
    <row r="131" spans="4:10" ht="15.75" customHeight="1" x14ac:dyDescent="0.3">
      <c r="D131" s="3"/>
      <c r="E131" s="3"/>
      <c r="F131" s="3"/>
      <c r="G131" s="3"/>
      <c r="H131" s="3"/>
      <c r="I131" s="3"/>
      <c r="J131" s="92"/>
    </row>
    <row r="132" spans="4:10" ht="15.75" customHeight="1" x14ac:dyDescent="0.3">
      <c r="D132" s="3"/>
      <c r="E132" s="3"/>
      <c r="F132" s="3"/>
      <c r="G132" s="3"/>
      <c r="H132" s="3"/>
      <c r="I132" s="3"/>
      <c r="J132" s="92"/>
    </row>
    <row r="133" spans="4:10" ht="15.75" customHeight="1" x14ac:dyDescent="0.3">
      <c r="D133" s="3"/>
      <c r="E133" s="3"/>
      <c r="F133" s="3"/>
      <c r="G133" s="3"/>
      <c r="H133" s="3"/>
      <c r="I133" s="3"/>
      <c r="J133" s="92"/>
    </row>
    <row r="134" spans="4:10" ht="15.75" customHeight="1" x14ac:dyDescent="0.3">
      <c r="D134" s="3"/>
      <c r="E134" s="3"/>
      <c r="F134" s="3"/>
      <c r="G134" s="3"/>
      <c r="H134" s="3"/>
      <c r="I134" s="3"/>
      <c r="J134" s="92"/>
    </row>
    <row r="135" spans="4:10" ht="15.75" customHeight="1" x14ac:dyDescent="0.3">
      <c r="D135" s="3"/>
      <c r="E135" s="3"/>
      <c r="F135" s="3"/>
      <c r="G135" s="3"/>
      <c r="H135" s="3"/>
      <c r="I135" s="3"/>
      <c r="J135" s="92"/>
    </row>
    <row r="136" spans="4:10" ht="15.75" customHeight="1" x14ac:dyDescent="0.3">
      <c r="D136" s="3"/>
      <c r="E136" s="3"/>
      <c r="F136" s="3"/>
      <c r="G136" s="3"/>
      <c r="H136" s="3"/>
      <c r="I136" s="3"/>
      <c r="J136" s="92"/>
    </row>
    <row r="137" spans="4:10" ht="15.75" customHeight="1" x14ac:dyDescent="0.3">
      <c r="D137" s="3"/>
      <c r="E137" s="3"/>
      <c r="F137" s="3"/>
      <c r="G137" s="3"/>
      <c r="H137" s="3"/>
      <c r="I137" s="3"/>
      <c r="J137" s="92"/>
    </row>
    <row r="138" spans="4:10" ht="15.75" customHeight="1" x14ac:dyDescent="0.3">
      <c r="D138" s="3"/>
      <c r="E138" s="3"/>
      <c r="F138" s="3"/>
      <c r="G138" s="3"/>
      <c r="H138" s="3"/>
      <c r="I138" s="3"/>
      <c r="J138" s="92"/>
    </row>
    <row r="139" spans="4:10" ht="15.75" customHeight="1" x14ac:dyDescent="0.3">
      <c r="D139" s="3"/>
      <c r="E139" s="3"/>
      <c r="F139" s="3"/>
      <c r="G139" s="3"/>
      <c r="H139" s="3"/>
      <c r="I139" s="3"/>
      <c r="J139" s="92"/>
    </row>
    <row r="140" spans="4:10" ht="15.75" customHeight="1" x14ac:dyDescent="0.3">
      <c r="D140" s="3"/>
      <c r="E140" s="3"/>
      <c r="F140" s="3"/>
      <c r="G140" s="3"/>
      <c r="H140" s="3"/>
      <c r="I140" s="3"/>
      <c r="J140" s="92"/>
    </row>
    <row r="141" spans="4:10" ht="15.75" customHeight="1" x14ac:dyDescent="0.3">
      <c r="D141" s="3"/>
      <c r="E141" s="3"/>
      <c r="F141" s="3"/>
      <c r="G141" s="3"/>
      <c r="H141" s="3"/>
      <c r="I141" s="3"/>
      <c r="J141" s="92"/>
    </row>
    <row r="142" spans="4:10" ht="15.75" customHeight="1" x14ac:dyDescent="0.3">
      <c r="D142" s="3"/>
      <c r="E142" s="3"/>
      <c r="F142" s="3"/>
      <c r="G142" s="3"/>
      <c r="H142" s="3"/>
      <c r="I142" s="3"/>
      <c r="J142" s="92"/>
    </row>
    <row r="143" spans="4:10" ht="15.75" customHeight="1" x14ac:dyDescent="0.3">
      <c r="D143" s="3"/>
      <c r="E143" s="3"/>
      <c r="F143" s="3"/>
      <c r="G143" s="3"/>
      <c r="H143" s="3"/>
      <c r="I143" s="3"/>
      <c r="J143" s="92"/>
    </row>
    <row r="144" spans="4:10" ht="15.75" customHeight="1" x14ac:dyDescent="0.3">
      <c r="D144" s="3"/>
      <c r="E144" s="3"/>
      <c r="F144" s="3"/>
      <c r="G144" s="3"/>
      <c r="H144" s="3"/>
      <c r="I144" s="3"/>
      <c r="J144" s="92"/>
    </row>
    <row r="145" spans="4:10" ht="15.75" customHeight="1" x14ac:dyDescent="0.3">
      <c r="D145" s="3"/>
      <c r="E145" s="3"/>
      <c r="F145" s="3"/>
      <c r="G145" s="3"/>
      <c r="H145" s="3"/>
      <c r="I145" s="3"/>
      <c r="J145" s="92"/>
    </row>
    <row r="146" spans="4:10" ht="15.75" customHeight="1" x14ac:dyDescent="0.3">
      <c r="D146" s="3"/>
      <c r="E146" s="3"/>
      <c r="F146" s="3"/>
      <c r="G146" s="3"/>
      <c r="H146" s="3"/>
      <c r="I146" s="3"/>
      <c r="J146" s="92"/>
    </row>
    <row r="147" spans="4:10" ht="15.75" customHeight="1" x14ac:dyDescent="0.3">
      <c r="D147" s="3"/>
      <c r="E147" s="3"/>
      <c r="F147" s="3"/>
      <c r="G147" s="3"/>
      <c r="H147" s="3"/>
      <c r="I147" s="3"/>
      <c r="J147" s="92"/>
    </row>
    <row r="148" spans="4:10" ht="15.75" customHeight="1" x14ac:dyDescent="0.3">
      <c r="D148" s="3"/>
      <c r="E148" s="3"/>
      <c r="F148" s="3"/>
      <c r="G148" s="3"/>
      <c r="H148" s="3"/>
      <c r="I148" s="3"/>
      <c r="J148" s="92"/>
    </row>
    <row r="149" spans="4:10" ht="15.75" customHeight="1" x14ac:dyDescent="0.3">
      <c r="D149" s="3"/>
      <c r="E149" s="3"/>
      <c r="F149" s="3"/>
      <c r="G149" s="3"/>
      <c r="H149" s="3"/>
      <c r="I149" s="3"/>
      <c r="J149" s="92"/>
    </row>
    <row r="150" spans="4:10" ht="15.75" customHeight="1" x14ac:dyDescent="0.3">
      <c r="D150" s="3"/>
      <c r="E150" s="3"/>
      <c r="F150" s="3"/>
      <c r="G150" s="3"/>
      <c r="H150" s="3"/>
      <c r="I150" s="3"/>
      <c r="J150" s="92"/>
    </row>
    <row r="151" spans="4:10" ht="15.75" customHeight="1" x14ac:dyDescent="0.3">
      <c r="D151" s="3"/>
      <c r="E151" s="3"/>
      <c r="F151" s="3"/>
      <c r="G151" s="3"/>
      <c r="H151" s="3"/>
      <c r="I151" s="3"/>
      <c r="J151" s="92"/>
    </row>
    <row r="152" spans="4:10" ht="15.75" customHeight="1" x14ac:dyDescent="0.3">
      <c r="D152" s="3"/>
      <c r="E152" s="3"/>
      <c r="F152" s="3"/>
      <c r="G152" s="3"/>
      <c r="H152" s="3"/>
      <c r="I152" s="3"/>
      <c r="J152" s="92"/>
    </row>
    <row r="153" spans="4:10" ht="15.75" customHeight="1" x14ac:dyDescent="0.3">
      <c r="D153" s="3"/>
      <c r="E153" s="3"/>
      <c r="F153" s="3"/>
      <c r="G153" s="3"/>
      <c r="H153" s="3"/>
      <c r="I153" s="3"/>
      <c r="J153" s="92"/>
    </row>
    <row r="154" spans="4:10" ht="15.75" customHeight="1" x14ac:dyDescent="0.3">
      <c r="D154" s="3"/>
      <c r="E154" s="3"/>
      <c r="F154" s="3"/>
      <c r="G154" s="3"/>
      <c r="H154" s="3"/>
      <c r="I154" s="3"/>
      <c r="J154" s="92"/>
    </row>
    <row r="155" spans="4:10" ht="15.75" customHeight="1" x14ac:dyDescent="0.3">
      <c r="D155" s="3"/>
      <c r="E155" s="3"/>
      <c r="F155" s="3"/>
      <c r="G155" s="3"/>
      <c r="H155" s="3"/>
      <c r="I155" s="3"/>
      <c r="J155" s="92"/>
    </row>
    <row r="156" spans="4:10" ht="15.75" customHeight="1" x14ac:dyDescent="0.3">
      <c r="D156" s="3"/>
      <c r="E156" s="3"/>
      <c r="F156" s="3"/>
      <c r="G156" s="3"/>
      <c r="H156" s="3"/>
      <c r="I156" s="3"/>
      <c r="J156" s="92"/>
    </row>
    <row r="157" spans="4:10" ht="15.75" customHeight="1" x14ac:dyDescent="0.3">
      <c r="D157" s="3"/>
      <c r="E157" s="3"/>
      <c r="F157" s="3"/>
      <c r="G157" s="3"/>
      <c r="H157" s="3"/>
      <c r="I157" s="3"/>
      <c r="J157" s="92"/>
    </row>
    <row r="158" spans="4:10" ht="15.75" customHeight="1" x14ac:dyDescent="0.3">
      <c r="D158" s="3"/>
      <c r="E158" s="3"/>
      <c r="F158" s="3"/>
      <c r="G158" s="3"/>
      <c r="H158" s="3"/>
      <c r="I158" s="3"/>
      <c r="J158" s="92"/>
    </row>
    <row r="159" spans="4:10" ht="15.75" customHeight="1" x14ac:dyDescent="0.3">
      <c r="D159" s="3"/>
      <c r="E159" s="3"/>
      <c r="F159" s="3"/>
      <c r="G159" s="3"/>
      <c r="H159" s="3"/>
      <c r="I159" s="3"/>
      <c r="J159" s="92"/>
    </row>
    <row r="160" spans="4:10" ht="15.75" customHeight="1" x14ac:dyDescent="0.3">
      <c r="D160" s="3"/>
      <c r="E160" s="3"/>
      <c r="F160" s="3"/>
      <c r="G160" s="3"/>
      <c r="H160" s="3"/>
      <c r="I160" s="3"/>
      <c r="J160" s="92"/>
    </row>
    <row r="161" spans="4:10" ht="15.75" customHeight="1" x14ac:dyDescent="0.3">
      <c r="D161" s="3"/>
      <c r="E161" s="3"/>
      <c r="F161" s="3"/>
      <c r="G161" s="3"/>
      <c r="H161" s="3"/>
      <c r="I161" s="3"/>
      <c r="J161" s="92"/>
    </row>
    <row r="162" spans="4:10" ht="15.75" customHeight="1" x14ac:dyDescent="0.3">
      <c r="D162" s="3"/>
      <c r="E162" s="3"/>
      <c r="F162" s="3"/>
      <c r="G162" s="3"/>
      <c r="H162" s="3"/>
      <c r="I162" s="3"/>
      <c r="J162" s="92"/>
    </row>
    <row r="163" spans="4:10" ht="15.75" customHeight="1" x14ac:dyDescent="0.3">
      <c r="D163" s="3"/>
      <c r="E163" s="3"/>
      <c r="F163" s="3"/>
      <c r="G163" s="3"/>
      <c r="H163" s="3"/>
      <c r="I163" s="3"/>
      <c r="J163" s="92"/>
    </row>
    <row r="164" spans="4:10" ht="15.75" customHeight="1" x14ac:dyDescent="0.3">
      <c r="D164" s="3"/>
      <c r="E164" s="3"/>
      <c r="F164" s="3"/>
      <c r="G164" s="3"/>
      <c r="H164" s="3"/>
      <c r="I164" s="3"/>
      <c r="J164" s="92"/>
    </row>
    <row r="165" spans="4:10" ht="15.75" customHeight="1" x14ac:dyDescent="0.3">
      <c r="D165" s="3"/>
      <c r="E165" s="3"/>
      <c r="F165" s="3"/>
      <c r="G165" s="3"/>
      <c r="H165" s="3"/>
      <c r="I165" s="3"/>
      <c r="J165" s="92"/>
    </row>
    <row r="166" spans="4:10" ht="15.75" customHeight="1" x14ac:dyDescent="0.3">
      <c r="D166" s="3"/>
      <c r="E166" s="3"/>
      <c r="F166" s="3"/>
      <c r="G166" s="3"/>
      <c r="H166" s="3"/>
      <c r="I166" s="3"/>
      <c r="J166" s="92"/>
    </row>
    <row r="167" spans="4:10" ht="15.75" customHeight="1" x14ac:dyDescent="0.3">
      <c r="D167" s="3"/>
      <c r="E167" s="3"/>
      <c r="F167" s="3"/>
      <c r="G167" s="3"/>
      <c r="H167" s="3"/>
      <c r="I167" s="3"/>
      <c r="J167" s="92"/>
    </row>
    <row r="168" spans="4:10" ht="15.75" customHeight="1" x14ac:dyDescent="0.3">
      <c r="D168" s="3"/>
      <c r="E168" s="3"/>
      <c r="F168" s="3"/>
      <c r="G168" s="3"/>
      <c r="H168" s="3"/>
      <c r="I168" s="3"/>
      <c r="J168" s="92"/>
    </row>
    <row r="169" spans="4:10" ht="15.75" customHeight="1" x14ac:dyDescent="0.3">
      <c r="D169" s="3"/>
      <c r="E169" s="3"/>
      <c r="F169" s="3"/>
      <c r="G169" s="3"/>
      <c r="H169" s="3"/>
      <c r="I169" s="3"/>
      <c r="J169" s="92"/>
    </row>
    <row r="170" spans="4:10" ht="15.75" customHeight="1" x14ac:dyDescent="0.3">
      <c r="D170" s="3"/>
      <c r="E170" s="3"/>
      <c r="F170" s="3"/>
      <c r="G170" s="3"/>
      <c r="H170" s="3"/>
      <c r="I170" s="3"/>
      <c r="J170" s="92"/>
    </row>
    <row r="171" spans="4:10" ht="15.75" customHeight="1" x14ac:dyDescent="0.3">
      <c r="D171" s="3"/>
      <c r="E171" s="3"/>
      <c r="F171" s="3"/>
      <c r="G171" s="3"/>
      <c r="H171" s="3"/>
      <c r="I171" s="3"/>
      <c r="J171" s="92"/>
    </row>
    <row r="172" spans="4:10" ht="15.75" customHeight="1" x14ac:dyDescent="0.3">
      <c r="D172" s="3"/>
      <c r="E172" s="3"/>
      <c r="F172" s="3"/>
      <c r="G172" s="3"/>
      <c r="H172" s="3"/>
      <c r="I172" s="3"/>
      <c r="J172" s="92"/>
    </row>
    <row r="173" spans="4:10" ht="15.75" customHeight="1" x14ac:dyDescent="0.3">
      <c r="D173" s="3"/>
      <c r="E173" s="3"/>
      <c r="F173" s="3"/>
      <c r="G173" s="3"/>
      <c r="H173" s="3"/>
      <c r="I173" s="3"/>
      <c r="J173" s="92"/>
    </row>
    <row r="174" spans="4:10" ht="15.75" customHeight="1" x14ac:dyDescent="0.3">
      <c r="D174" s="3"/>
      <c r="E174" s="3"/>
      <c r="F174" s="3"/>
      <c r="G174" s="3"/>
      <c r="H174" s="3"/>
      <c r="I174" s="3"/>
      <c r="J174" s="92"/>
    </row>
    <row r="175" spans="4:10" ht="15.75" customHeight="1" x14ac:dyDescent="0.3">
      <c r="D175" s="3"/>
      <c r="E175" s="3"/>
      <c r="F175" s="3"/>
      <c r="G175" s="3"/>
      <c r="H175" s="3"/>
      <c r="I175" s="3"/>
      <c r="J175" s="92"/>
    </row>
    <row r="176" spans="4:10" ht="15.75" customHeight="1" x14ac:dyDescent="0.3">
      <c r="D176" s="3"/>
      <c r="E176" s="3"/>
      <c r="F176" s="3"/>
      <c r="G176" s="3"/>
      <c r="H176" s="3"/>
      <c r="I176" s="3"/>
      <c r="J176" s="92"/>
    </row>
    <row r="177" spans="4:10" ht="15.75" customHeight="1" x14ac:dyDescent="0.3">
      <c r="D177" s="3"/>
      <c r="E177" s="3"/>
      <c r="F177" s="3"/>
      <c r="G177" s="3"/>
      <c r="H177" s="3"/>
      <c r="I177" s="3"/>
      <c r="J177" s="92"/>
    </row>
    <row r="178" spans="4:10" ht="15.75" customHeight="1" x14ac:dyDescent="0.3">
      <c r="D178" s="3"/>
      <c r="E178" s="3"/>
      <c r="F178" s="3"/>
      <c r="G178" s="3"/>
      <c r="H178" s="3"/>
      <c r="I178" s="3"/>
      <c r="J178" s="92"/>
    </row>
    <row r="179" spans="4:10" ht="15.75" customHeight="1" x14ac:dyDescent="0.3">
      <c r="D179" s="3"/>
      <c r="E179" s="3"/>
      <c r="F179" s="3"/>
      <c r="G179" s="3"/>
      <c r="H179" s="3"/>
      <c r="I179" s="3"/>
      <c r="J179" s="92"/>
    </row>
    <row r="180" spans="4:10" ht="15.75" customHeight="1" x14ac:dyDescent="0.3">
      <c r="D180" s="3"/>
      <c r="E180" s="3"/>
      <c r="F180" s="3"/>
      <c r="G180" s="3"/>
      <c r="H180" s="3"/>
      <c r="I180" s="3"/>
      <c r="J180" s="92"/>
    </row>
    <row r="181" spans="4:10" ht="15.75" customHeight="1" x14ac:dyDescent="0.3">
      <c r="D181" s="3"/>
      <c r="E181" s="3"/>
      <c r="F181" s="3"/>
      <c r="G181" s="3"/>
      <c r="H181" s="3"/>
      <c r="I181" s="3"/>
      <c r="J181" s="92"/>
    </row>
    <row r="182" spans="4:10" ht="15.75" customHeight="1" x14ac:dyDescent="0.3">
      <c r="D182" s="3"/>
      <c r="E182" s="3"/>
      <c r="F182" s="3"/>
      <c r="G182" s="3"/>
      <c r="H182" s="3"/>
      <c r="I182" s="3"/>
      <c r="J182" s="92"/>
    </row>
    <row r="183" spans="4:10" ht="15.75" customHeight="1" x14ac:dyDescent="0.3">
      <c r="D183" s="3"/>
      <c r="E183" s="3"/>
      <c r="F183" s="3"/>
      <c r="G183" s="3"/>
      <c r="H183" s="3"/>
      <c r="I183" s="3"/>
      <c r="J183" s="92"/>
    </row>
    <row r="184" spans="4:10" ht="15.75" customHeight="1" x14ac:dyDescent="0.3">
      <c r="D184" s="3"/>
      <c r="E184" s="3"/>
      <c r="F184" s="3"/>
      <c r="G184" s="3"/>
      <c r="H184" s="3"/>
      <c r="I184" s="3"/>
      <c r="J184" s="92"/>
    </row>
    <row r="185" spans="4:10" ht="15.75" customHeight="1" x14ac:dyDescent="0.3">
      <c r="D185" s="3"/>
      <c r="E185" s="3"/>
      <c r="F185" s="3"/>
      <c r="G185" s="3"/>
      <c r="H185" s="3"/>
      <c r="I185" s="3"/>
      <c r="J185" s="92"/>
    </row>
    <row r="186" spans="4:10" ht="15.75" customHeight="1" x14ac:dyDescent="0.3">
      <c r="D186" s="3"/>
      <c r="E186" s="3"/>
      <c r="F186" s="3"/>
      <c r="G186" s="3"/>
      <c r="H186" s="3"/>
      <c r="I186" s="3"/>
      <c r="J186" s="92"/>
    </row>
    <row r="187" spans="4:10" ht="15.75" customHeight="1" x14ac:dyDescent="0.3">
      <c r="D187" s="3"/>
      <c r="E187" s="3"/>
      <c r="F187" s="3"/>
      <c r="G187" s="3"/>
      <c r="H187" s="3"/>
      <c r="I187" s="3"/>
      <c r="J187" s="92"/>
    </row>
    <row r="188" spans="4:10" ht="15.75" customHeight="1" x14ac:dyDescent="0.3">
      <c r="D188" s="3"/>
      <c r="E188" s="3"/>
      <c r="F188" s="3"/>
      <c r="G188" s="3"/>
      <c r="H188" s="3"/>
      <c r="I188" s="3"/>
      <c r="J188" s="92"/>
    </row>
    <row r="189" spans="4:10" ht="15.75" customHeight="1" x14ac:dyDescent="0.3">
      <c r="D189" s="3"/>
      <c r="E189" s="3"/>
      <c r="F189" s="3"/>
      <c r="G189" s="3"/>
      <c r="H189" s="3"/>
      <c r="I189" s="3"/>
      <c r="J189" s="92"/>
    </row>
    <row r="190" spans="4:10" ht="15.75" customHeight="1" x14ac:dyDescent="0.3">
      <c r="D190" s="3"/>
      <c r="E190" s="3"/>
      <c r="F190" s="3"/>
      <c r="G190" s="3"/>
      <c r="H190" s="3"/>
      <c r="I190" s="3"/>
      <c r="J190" s="92"/>
    </row>
    <row r="191" spans="4:10" ht="15.75" customHeight="1" x14ac:dyDescent="0.3">
      <c r="D191" s="3"/>
      <c r="E191" s="3"/>
      <c r="F191" s="3"/>
      <c r="G191" s="3"/>
      <c r="H191" s="3"/>
      <c r="I191" s="3"/>
      <c r="J191" s="92"/>
    </row>
    <row r="192" spans="4:10" ht="15.75" customHeight="1" x14ac:dyDescent="0.3">
      <c r="D192" s="3"/>
      <c r="E192" s="3"/>
      <c r="F192" s="3"/>
      <c r="G192" s="3"/>
      <c r="H192" s="3"/>
      <c r="I192" s="3"/>
      <c r="J192" s="92"/>
    </row>
    <row r="193" spans="4:10" ht="15.75" customHeight="1" x14ac:dyDescent="0.3">
      <c r="D193" s="3"/>
      <c r="E193" s="3"/>
      <c r="F193" s="3"/>
      <c r="G193" s="3"/>
      <c r="H193" s="3"/>
      <c r="I193" s="3"/>
      <c r="J193" s="92"/>
    </row>
    <row r="194" spans="4:10" ht="15.75" customHeight="1" x14ac:dyDescent="0.3">
      <c r="D194" s="3"/>
      <c r="E194" s="3"/>
      <c r="F194" s="3"/>
      <c r="G194" s="3"/>
      <c r="H194" s="3"/>
      <c r="I194" s="3"/>
      <c r="J194" s="92"/>
    </row>
    <row r="195" spans="4:10" ht="15.75" customHeight="1" x14ac:dyDescent="0.3">
      <c r="D195" s="3"/>
      <c r="E195" s="3"/>
      <c r="F195" s="3"/>
      <c r="G195" s="3"/>
      <c r="H195" s="3"/>
      <c r="I195" s="3"/>
      <c r="J195" s="92"/>
    </row>
    <row r="196" spans="4:10" ht="15.75" customHeight="1" x14ac:dyDescent="0.3">
      <c r="D196" s="3"/>
      <c r="E196" s="3"/>
      <c r="F196" s="3"/>
      <c r="G196" s="3"/>
      <c r="H196" s="3"/>
      <c r="I196" s="3"/>
      <c r="J196" s="92"/>
    </row>
    <row r="197" spans="4:10" ht="15.75" customHeight="1" x14ac:dyDescent="0.3">
      <c r="D197" s="3"/>
      <c r="E197" s="3"/>
      <c r="F197" s="3"/>
      <c r="G197" s="3"/>
      <c r="H197" s="3"/>
      <c r="I197" s="3"/>
      <c r="J197" s="92"/>
    </row>
    <row r="198" spans="4:10" ht="15.75" customHeight="1" x14ac:dyDescent="0.3">
      <c r="D198" s="3"/>
      <c r="E198" s="3"/>
      <c r="F198" s="3"/>
      <c r="G198" s="3"/>
      <c r="H198" s="3"/>
      <c r="I198" s="3"/>
      <c r="J198" s="92"/>
    </row>
    <row r="199" spans="4:10" ht="15.75" customHeight="1" x14ac:dyDescent="0.3">
      <c r="D199" s="3"/>
      <c r="E199" s="3"/>
      <c r="F199" s="3"/>
      <c r="G199" s="3"/>
      <c r="H199" s="3"/>
      <c r="I199" s="3"/>
      <c r="J199" s="92"/>
    </row>
    <row r="200" spans="4:10" ht="15.75" customHeight="1" x14ac:dyDescent="0.3">
      <c r="D200" s="3"/>
      <c r="E200" s="3"/>
      <c r="F200" s="3"/>
      <c r="G200" s="3"/>
      <c r="H200" s="3"/>
      <c r="I200" s="3"/>
      <c r="J200" s="92"/>
    </row>
    <row r="201" spans="4:10" ht="15.75" customHeight="1" x14ac:dyDescent="0.3">
      <c r="D201" s="3"/>
      <c r="E201" s="3"/>
      <c r="F201" s="3"/>
      <c r="G201" s="3"/>
      <c r="H201" s="3"/>
      <c r="I201" s="3"/>
      <c r="J201" s="92"/>
    </row>
    <row r="202" spans="4:10" ht="15.75" customHeight="1" x14ac:dyDescent="0.3">
      <c r="D202" s="3"/>
      <c r="E202" s="3"/>
      <c r="F202" s="3"/>
      <c r="G202" s="3"/>
      <c r="H202" s="3"/>
      <c r="I202" s="3"/>
      <c r="J202" s="92"/>
    </row>
    <row r="203" spans="4:10" ht="15.75" customHeight="1" x14ac:dyDescent="0.3">
      <c r="D203" s="3"/>
      <c r="E203" s="3"/>
      <c r="F203" s="3"/>
      <c r="G203" s="3"/>
      <c r="H203" s="3"/>
      <c r="I203" s="3"/>
      <c r="J203" s="92"/>
    </row>
    <row r="204" spans="4:10" ht="15.75" customHeight="1" x14ac:dyDescent="0.3">
      <c r="D204" s="3"/>
      <c r="E204" s="3"/>
      <c r="F204" s="3"/>
      <c r="G204" s="3"/>
      <c r="H204" s="3"/>
      <c r="I204" s="3"/>
      <c r="J204" s="92"/>
    </row>
    <row r="205" spans="4:10" ht="15.75" customHeight="1" x14ac:dyDescent="0.3">
      <c r="D205" s="3"/>
      <c r="E205" s="3"/>
      <c r="F205" s="3"/>
      <c r="G205" s="3"/>
      <c r="H205" s="3"/>
      <c r="I205" s="3"/>
      <c r="J205" s="92"/>
    </row>
    <row r="206" spans="4:10" ht="15.75" customHeight="1" x14ac:dyDescent="0.3">
      <c r="D206" s="3"/>
      <c r="E206" s="3"/>
      <c r="F206" s="3"/>
      <c r="G206" s="3"/>
      <c r="H206" s="3"/>
      <c r="I206" s="3"/>
      <c r="J206" s="92"/>
    </row>
    <row r="207" spans="4:10" ht="15.75" customHeight="1" x14ac:dyDescent="0.3">
      <c r="D207" s="3"/>
      <c r="E207" s="3"/>
      <c r="F207" s="3"/>
      <c r="G207" s="3"/>
      <c r="H207" s="3"/>
      <c r="I207" s="3"/>
      <c r="J207" s="92"/>
    </row>
    <row r="208" spans="4:10" ht="15.75" customHeight="1" x14ac:dyDescent="0.3">
      <c r="D208" s="3"/>
      <c r="E208" s="3"/>
      <c r="F208" s="3"/>
      <c r="G208" s="3"/>
      <c r="H208" s="3"/>
      <c r="I208" s="3"/>
      <c r="J208" s="92"/>
    </row>
    <row r="209" spans="4:10" ht="15.75" customHeight="1" x14ac:dyDescent="0.3">
      <c r="D209" s="3"/>
      <c r="E209" s="3"/>
      <c r="F209" s="3"/>
      <c r="G209" s="3"/>
      <c r="H209" s="3"/>
      <c r="I209" s="3"/>
      <c r="J209" s="92"/>
    </row>
    <row r="210" spans="4:10" ht="15.75" customHeight="1" x14ac:dyDescent="0.3">
      <c r="D210" s="3"/>
      <c r="E210" s="3"/>
      <c r="F210" s="3"/>
      <c r="G210" s="3"/>
      <c r="H210" s="3"/>
      <c r="I210" s="3"/>
      <c r="J210" s="92"/>
    </row>
    <row r="211" spans="4:10" ht="15.75" customHeight="1" x14ac:dyDescent="0.3">
      <c r="D211" s="3"/>
      <c r="E211" s="3"/>
      <c r="F211" s="3"/>
      <c r="G211" s="3"/>
      <c r="H211" s="3"/>
      <c r="I211" s="3"/>
      <c r="J211" s="92"/>
    </row>
    <row r="212" spans="4:10" ht="15.75" customHeight="1" x14ac:dyDescent="0.3">
      <c r="D212" s="3"/>
      <c r="E212" s="3"/>
      <c r="F212" s="3"/>
      <c r="G212" s="3"/>
      <c r="H212" s="3"/>
      <c r="I212" s="3"/>
      <c r="J212" s="92"/>
    </row>
    <row r="213" spans="4:10" ht="15.75" customHeight="1" x14ac:dyDescent="0.3">
      <c r="D213" s="3"/>
      <c r="E213" s="3"/>
      <c r="F213" s="3"/>
      <c r="G213" s="3"/>
      <c r="H213" s="3"/>
      <c r="I213" s="3"/>
      <c r="J213" s="92"/>
    </row>
    <row r="214" spans="4:10" ht="15.75" customHeight="1" x14ac:dyDescent="0.3">
      <c r="D214" s="3"/>
      <c r="E214" s="3"/>
      <c r="F214" s="3"/>
      <c r="G214" s="3"/>
      <c r="H214" s="3"/>
      <c r="I214" s="3"/>
      <c r="J214" s="92"/>
    </row>
    <row r="215" spans="4:10" ht="15.75" customHeight="1" x14ac:dyDescent="0.3">
      <c r="D215" s="3"/>
      <c r="E215" s="3"/>
      <c r="F215" s="3"/>
      <c r="G215" s="3"/>
      <c r="H215" s="3"/>
      <c r="I215" s="3"/>
      <c r="J215" s="92"/>
    </row>
    <row r="216" spans="4:10" ht="15.75" customHeight="1" x14ac:dyDescent="0.3">
      <c r="D216" s="3"/>
      <c r="E216" s="3"/>
      <c r="F216" s="3"/>
      <c r="G216" s="3"/>
      <c r="H216" s="3"/>
      <c r="I216" s="3"/>
      <c r="J216" s="92"/>
    </row>
    <row r="217" spans="4:10" ht="15.75" customHeight="1" x14ac:dyDescent="0.3">
      <c r="D217" s="3"/>
      <c r="E217" s="3"/>
      <c r="F217" s="3"/>
      <c r="G217" s="3"/>
      <c r="H217" s="3"/>
      <c r="I217" s="3"/>
      <c r="J217" s="92"/>
    </row>
    <row r="218" spans="4:10" ht="15.75" customHeight="1" x14ac:dyDescent="0.3">
      <c r="D218" s="3"/>
      <c r="E218" s="3"/>
      <c r="F218" s="3"/>
      <c r="G218" s="3"/>
      <c r="H218" s="3"/>
      <c r="I218" s="3"/>
      <c r="J218" s="92"/>
    </row>
    <row r="219" spans="4:10" ht="15.75" customHeight="1" x14ac:dyDescent="0.3">
      <c r="D219" s="3"/>
      <c r="E219" s="3"/>
      <c r="F219" s="3"/>
      <c r="G219" s="3"/>
      <c r="H219" s="3"/>
      <c r="I219" s="3"/>
      <c r="J219" s="92"/>
    </row>
    <row r="220" spans="4:10" ht="15.75" customHeight="1" x14ac:dyDescent="0.3">
      <c r="D220" s="3"/>
      <c r="E220" s="3"/>
      <c r="F220" s="3"/>
      <c r="G220" s="3"/>
      <c r="H220" s="3"/>
      <c r="I220" s="3"/>
      <c r="J220" s="92"/>
    </row>
    <row r="221" spans="4:10" ht="15.75" customHeight="1" x14ac:dyDescent="0.3">
      <c r="D221" s="3"/>
      <c r="E221" s="3"/>
      <c r="F221" s="3"/>
      <c r="G221" s="3"/>
      <c r="H221" s="3"/>
      <c r="I221" s="3"/>
      <c r="J221" s="92"/>
    </row>
    <row r="222" spans="4:10" ht="15.75" customHeight="1" x14ac:dyDescent="0.3">
      <c r="D222" s="3"/>
      <c r="E222" s="3"/>
      <c r="F222" s="3"/>
      <c r="G222" s="3"/>
      <c r="H222" s="3"/>
      <c r="I222" s="3"/>
      <c r="J222" s="92"/>
    </row>
    <row r="223" spans="4:10" ht="15.75" customHeight="1" x14ac:dyDescent="0.3">
      <c r="D223" s="3"/>
      <c r="E223" s="3"/>
      <c r="F223" s="3"/>
      <c r="G223" s="3"/>
      <c r="H223" s="3"/>
      <c r="I223" s="3"/>
      <c r="J223" s="92"/>
    </row>
    <row r="224" spans="4:10" ht="15.75" customHeight="1" x14ac:dyDescent="0.3">
      <c r="D224" s="3"/>
      <c r="E224" s="3"/>
      <c r="F224" s="3"/>
      <c r="G224" s="3"/>
      <c r="H224" s="3"/>
      <c r="I224" s="3"/>
      <c r="J224" s="92"/>
    </row>
    <row r="225" spans="4:10" ht="15.75" customHeight="1" x14ac:dyDescent="0.3">
      <c r="D225" s="3"/>
      <c r="E225" s="3"/>
      <c r="F225" s="3"/>
      <c r="G225" s="3"/>
      <c r="H225" s="3"/>
      <c r="I225" s="3"/>
      <c r="J225" s="92"/>
    </row>
    <row r="226" spans="4:10" ht="15.75" customHeight="1" x14ac:dyDescent="0.3">
      <c r="D226" s="3"/>
      <c r="E226" s="3"/>
      <c r="F226" s="3"/>
      <c r="G226" s="3"/>
      <c r="H226" s="3"/>
      <c r="I226" s="3"/>
      <c r="J226" s="92"/>
    </row>
    <row r="227" spans="4:10" ht="15.75" customHeight="1" x14ac:dyDescent="0.3">
      <c r="D227" s="3"/>
      <c r="E227" s="3"/>
      <c r="F227" s="3"/>
      <c r="G227" s="3"/>
      <c r="H227" s="3"/>
      <c r="I227" s="3"/>
      <c r="J227" s="92"/>
    </row>
    <row r="228" spans="4:10" ht="15.75" customHeight="1" x14ac:dyDescent="0.3">
      <c r="D228" s="3"/>
      <c r="E228" s="3"/>
      <c r="F228" s="3"/>
      <c r="G228" s="3"/>
      <c r="H228" s="3"/>
      <c r="I228" s="3"/>
      <c r="J228" s="92"/>
    </row>
    <row r="229" spans="4:10" ht="15.75" customHeight="1" x14ac:dyDescent="0.3">
      <c r="D229" s="3"/>
      <c r="E229" s="3"/>
      <c r="F229" s="3"/>
      <c r="G229" s="3"/>
      <c r="H229" s="3"/>
      <c r="I229" s="3"/>
      <c r="J229" s="92"/>
    </row>
    <row r="230" spans="4:10" ht="15.75" customHeight="1" x14ac:dyDescent="0.3">
      <c r="D230" s="3"/>
      <c r="E230" s="3"/>
      <c r="F230" s="3"/>
      <c r="G230" s="3"/>
      <c r="H230" s="3"/>
      <c r="I230" s="3"/>
      <c r="J230" s="92"/>
    </row>
    <row r="231" spans="4:10" ht="15.75" customHeight="1" x14ac:dyDescent="0.3">
      <c r="D231" s="3"/>
      <c r="E231" s="3"/>
      <c r="F231" s="3"/>
      <c r="G231" s="3"/>
      <c r="H231" s="3"/>
      <c r="I231" s="3"/>
      <c r="J231" s="92"/>
    </row>
    <row r="232" spans="4:10" ht="15.75" customHeight="1" x14ac:dyDescent="0.3">
      <c r="D232" s="3"/>
      <c r="E232" s="3"/>
      <c r="F232" s="3"/>
      <c r="G232" s="3"/>
      <c r="H232" s="3"/>
      <c r="I232" s="3"/>
      <c r="J232" s="92"/>
    </row>
    <row r="233" spans="4:10" ht="15.75" customHeight="1" x14ac:dyDescent="0.3">
      <c r="D233" s="3"/>
      <c r="E233" s="3"/>
      <c r="F233" s="3"/>
      <c r="G233" s="3"/>
      <c r="H233" s="3"/>
      <c r="I233" s="3"/>
      <c r="J233" s="92"/>
    </row>
    <row r="234" spans="4:10" ht="15.75" customHeight="1" x14ac:dyDescent="0.3">
      <c r="D234" s="3"/>
      <c r="E234" s="3"/>
      <c r="F234" s="3"/>
      <c r="G234" s="3"/>
      <c r="H234" s="3"/>
      <c r="I234" s="3"/>
      <c r="J234" s="92"/>
    </row>
    <row r="235" spans="4:10" ht="15.75" customHeight="1" x14ac:dyDescent="0.3">
      <c r="D235" s="3"/>
      <c r="E235" s="3"/>
      <c r="F235" s="3"/>
      <c r="G235" s="3"/>
      <c r="H235" s="3"/>
      <c r="I235" s="3"/>
      <c r="J235" s="92"/>
    </row>
    <row r="236" spans="4:10" ht="15.75" customHeight="1" x14ac:dyDescent="0.3">
      <c r="D236" s="3"/>
      <c r="E236" s="3"/>
      <c r="F236" s="3"/>
      <c r="G236" s="3"/>
      <c r="H236" s="3"/>
      <c r="I236" s="3"/>
      <c r="J236" s="92"/>
    </row>
    <row r="237" spans="4:10" ht="15.75" customHeight="1" x14ac:dyDescent="0.3">
      <c r="D237" s="3"/>
      <c r="E237" s="3"/>
      <c r="F237" s="3"/>
      <c r="G237" s="3"/>
      <c r="H237" s="3"/>
      <c r="I237" s="3"/>
      <c r="J237" s="92"/>
    </row>
    <row r="238" spans="4:10" ht="15.75" customHeight="1" x14ac:dyDescent="0.3">
      <c r="D238" s="3"/>
      <c r="E238" s="3"/>
      <c r="F238" s="3"/>
      <c r="G238" s="3"/>
      <c r="H238" s="3"/>
      <c r="I238" s="3"/>
      <c r="J238" s="92"/>
    </row>
    <row r="239" spans="4:10" ht="15.75" customHeight="1" x14ac:dyDescent="0.3">
      <c r="D239" s="3"/>
      <c r="E239" s="3"/>
      <c r="F239" s="3"/>
      <c r="G239" s="3"/>
      <c r="H239" s="3"/>
      <c r="I239" s="3"/>
      <c r="J239" s="92"/>
    </row>
    <row r="240" spans="4:10" ht="15.75" customHeight="1" x14ac:dyDescent="0.3">
      <c r="D240" s="3"/>
      <c r="E240" s="3"/>
      <c r="F240" s="3"/>
      <c r="G240" s="3"/>
      <c r="H240" s="3"/>
      <c r="I240" s="3"/>
      <c r="J240" s="92"/>
    </row>
    <row r="241" spans="4:10" ht="15.75" customHeight="1" x14ac:dyDescent="0.3">
      <c r="D241" s="3"/>
      <c r="E241" s="3"/>
      <c r="F241" s="3"/>
      <c r="G241" s="3"/>
      <c r="H241" s="3"/>
      <c r="I241" s="3"/>
      <c r="J241" s="92"/>
    </row>
    <row r="242" spans="4:10" ht="15.75" customHeight="1" x14ac:dyDescent="0.3">
      <c r="D242" s="3"/>
      <c r="E242" s="3"/>
      <c r="F242" s="3"/>
      <c r="G242" s="3"/>
      <c r="H242" s="3"/>
      <c r="I242" s="3"/>
      <c r="J242" s="92"/>
    </row>
    <row r="243" spans="4:10" ht="15.75" customHeight="1" x14ac:dyDescent="0.3">
      <c r="D243" s="3"/>
      <c r="E243" s="3"/>
      <c r="F243" s="3"/>
      <c r="G243" s="3"/>
      <c r="H243" s="3"/>
      <c r="I243" s="3"/>
      <c r="J243" s="92"/>
    </row>
    <row r="244" spans="4:10" ht="15.75" customHeight="1" x14ac:dyDescent="0.3">
      <c r="D244" s="3"/>
      <c r="E244" s="3"/>
      <c r="F244" s="3"/>
      <c r="G244" s="3"/>
      <c r="H244" s="3"/>
      <c r="I244" s="3"/>
      <c r="J244" s="92"/>
    </row>
    <row r="245" spans="4:10" ht="15.75" customHeight="1" x14ac:dyDescent="0.3">
      <c r="D245" s="3"/>
      <c r="E245" s="3"/>
      <c r="F245" s="3"/>
      <c r="G245" s="3"/>
      <c r="H245" s="3"/>
      <c r="I245" s="3"/>
      <c r="J245" s="92"/>
    </row>
    <row r="246" spans="4:10" ht="15.75" customHeight="1" x14ac:dyDescent="0.3">
      <c r="D246" s="3"/>
      <c r="E246" s="3"/>
      <c r="F246" s="3"/>
      <c r="G246" s="3"/>
      <c r="H246" s="3"/>
      <c r="I246" s="3"/>
      <c r="J246" s="92"/>
    </row>
    <row r="247" spans="4:10" ht="15.75" customHeight="1" x14ac:dyDescent="0.3">
      <c r="D247" s="3"/>
      <c r="E247" s="3"/>
      <c r="F247" s="3"/>
      <c r="G247" s="3"/>
      <c r="H247" s="3"/>
      <c r="I247" s="3"/>
      <c r="J247" s="92"/>
    </row>
    <row r="248" spans="4:10" ht="15.75" customHeight="1" x14ac:dyDescent="0.3">
      <c r="D248" s="3"/>
      <c r="E248" s="3"/>
      <c r="F248" s="3"/>
      <c r="G248" s="3"/>
      <c r="H248" s="3"/>
      <c r="I248" s="3"/>
      <c r="J248" s="92"/>
    </row>
    <row r="249" spans="4:10" ht="15.75" customHeight="1" x14ac:dyDescent="0.3">
      <c r="D249" s="3"/>
      <c r="E249" s="3"/>
      <c r="F249" s="3"/>
      <c r="G249" s="3"/>
      <c r="H249" s="3"/>
      <c r="I249" s="3"/>
      <c r="J249" s="92"/>
    </row>
    <row r="250" spans="4:10" ht="15.75" customHeight="1" x14ac:dyDescent="0.3">
      <c r="D250" s="3"/>
      <c r="E250" s="3"/>
      <c r="F250" s="3"/>
      <c r="G250" s="3"/>
      <c r="H250" s="3"/>
      <c r="I250" s="3"/>
      <c r="J250" s="92"/>
    </row>
    <row r="251" spans="4:10" ht="15.75" customHeight="1" x14ac:dyDescent="0.3">
      <c r="D251" s="3"/>
      <c r="E251" s="3"/>
      <c r="F251" s="3"/>
      <c r="G251" s="3"/>
      <c r="H251" s="3"/>
      <c r="I251" s="3"/>
      <c r="J251" s="92"/>
    </row>
    <row r="252" spans="4:10" ht="15.75" customHeight="1" x14ac:dyDescent="0.3">
      <c r="D252" s="3"/>
      <c r="E252" s="3"/>
      <c r="F252" s="3"/>
      <c r="G252" s="3"/>
      <c r="H252" s="3"/>
      <c r="I252" s="3"/>
      <c r="J252" s="92"/>
    </row>
    <row r="253" spans="4:10" ht="15.75" customHeight="1" x14ac:dyDescent="0.3">
      <c r="D253" s="3"/>
      <c r="E253" s="3"/>
      <c r="F253" s="3"/>
      <c r="G253" s="3"/>
      <c r="H253" s="3"/>
      <c r="I253" s="3"/>
      <c r="J253" s="92"/>
    </row>
    <row r="254" spans="4:10" ht="15.75" customHeight="1" x14ac:dyDescent="0.3">
      <c r="D254" s="3"/>
      <c r="E254" s="3"/>
      <c r="F254" s="3"/>
      <c r="G254" s="3"/>
      <c r="H254" s="3"/>
      <c r="I254" s="3"/>
      <c r="J254" s="92"/>
    </row>
    <row r="255" spans="4:10" ht="15.75" customHeight="1" x14ac:dyDescent="0.3">
      <c r="D255" s="3"/>
      <c r="E255" s="3"/>
      <c r="F255" s="3"/>
      <c r="G255" s="3"/>
      <c r="H255" s="3"/>
      <c r="I255" s="3"/>
      <c r="J255" s="92"/>
    </row>
    <row r="256" spans="4:10" ht="15.75" customHeight="1" x14ac:dyDescent="0.3">
      <c r="D256" s="3"/>
      <c r="E256" s="3"/>
      <c r="F256" s="3"/>
      <c r="G256" s="3"/>
      <c r="H256" s="3"/>
      <c r="I256" s="3"/>
      <c r="J256" s="92"/>
    </row>
    <row r="257" spans="4:10" ht="15.75" customHeight="1" x14ac:dyDescent="0.3">
      <c r="D257" s="3"/>
      <c r="E257" s="3"/>
      <c r="F257" s="3"/>
      <c r="G257" s="3"/>
      <c r="H257" s="3"/>
      <c r="I257" s="3"/>
      <c r="J257" s="92"/>
    </row>
    <row r="258" spans="4:10" ht="15.75" customHeight="1" x14ac:dyDescent="0.3">
      <c r="D258" s="3"/>
      <c r="E258" s="3"/>
      <c r="F258" s="3"/>
      <c r="G258" s="3"/>
      <c r="H258" s="3"/>
      <c r="I258" s="3"/>
      <c r="J258" s="92"/>
    </row>
    <row r="259" spans="4:10" ht="15.75" customHeight="1" x14ac:dyDescent="0.3">
      <c r="D259" s="3"/>
      <c r="E259" s="3"/>
      <c r="F259" s="3"/>
      <c r="G259" s="3"/>
      <c r="H259" s="3"/>
      <c r="I259" s="3"/>
      <c r="J259" s="92"/>
    </row>
    <row r="260" spans="4:10" ht="15.75" customHeight="1" x14ac:dyDescent="0.3">
      <c r="D260" s="3"/>
      <c r="E260" s="3"/>
      <c r="F260" s="3"/>
      <c r="G260" s="3"/>
      <c r="H260" s="3"/>
      <c r="I260" s="3"/>
      <c r="J260" s="92"/>
    </row>
    <row r="261" spans="4:10" ht="15.75" customHeight="1" x14ac:dyDescent="0.3">
      <c r="D261" s="3"/>
      <c r="E261" s="3"/>
      <c r="F261" s="3"/>
      <c r="G261" s="3"/>
      <c r="H261" s="3"/>
      <c r="I261" s="3"/>
      <c r="J261" s="92"/>
    </row>
    <row r="262" spans="4:10" ht="15.75" customHeight="1" x14ac:dyDescent="0.3">
      <c r="D262" s="3"/>
      <c r="E262" s="3"/>
      <c r="F262" s="3"/>
      <c r="G262" s="3"/>
      <c r="H262" s="3"/>
      <c r="I262" s="3"/>
      <c r="J262" s="92"/>
    </row>
    <row r="263" spans="4:10" ht="15.75" customHeight="1" x14ac:dyDescent="0.3">
      <c r="D263" s="3"/>
      <c r="E263" s="3"/>
      <c r="F263" s="3"/>
      <c r="G263" s="3"/>
      <c r="H263" s="3"/>
      <c r="I263" s="3"/>
      <c r="J263" s="92"/>
    </row>
    <row r="264" spans="4:10" ht="15.75" customHeight="1" x14ac:dyDescent="0.3">
      <c r="D264" s="3"/>
      <c r="E264" s="3"/>
      <c r="F264" s="3"/>
      <c r="G264" s="3"/>
      <c r="H264" s="3"/>
      <c r="I264" s="3"/>
      <c r="J264" s="92"/>
    </row>
    <row r="265" spans="4:10" ht="15.75" customHeight="1" x14ac:dyDescent="0.3">
      <c r="D265" s="3"/>
      <c r="E265" s="3"/>
      <c r="F265" s="3"/>
      <c r="G265" s="3"/>
      <c r="H265" s="3"/>
      <c r="I265" s="3"/>
      <c r="J265" s="92"/>
    </row>
    <row r="266" spans="4:10" ht="15.75" customHeight="1" x14ac:dyDescent="0.3">
      <c r="D266" s="3"/>
      <c r="E266" s="3"/>
      <c r="F266" s="3"/>
      <c r="G266" s="3"/>
      <c r="H266" s="3"/>
      <c r="I266" s="3"/>
      <c r="J266" s="92"/>
    </row>
    <row r="267" spans="4:10" ht="15.75" customHeight="1" x14ac:dyDescent="0.3">
      <c r="D267" s="3"/>
      <c r="E267" s="3"/>
      <c r="F267" s="3"/>
      <c r="G267" s="3"/>
      <c r="H267" s="3"/>
      <c r="I267" s="3"/>
      <c r="J267" s="92"/>
    </row>
    <row r="268" spans="4:10" ht="15.75" customHeight="1" x14ac:dyDescent="0.3">
      <c r="D268" s="3"/>
      <c r="E268" s="3"/>
      <c r="F268" s="3"/>
      <c r="G268" s="3"/>
      <c r="H268" s="3"/>
      <c r="I268" s="3"/>
      <c r="J268" s="92"/>
    </row>
    <row r="269" spans="4:10" ht="15.75" customHeight="1" x14ac:dyDescent="0.3">
      <c r="D269" s="3"/>
      <c r="E269" s="3"/>
      <c r="F269" s="3"/>
      <c r="G269" s="3"/>
      <c r="H269" s="3"/>
      <c r="I269" s="3"/>
      <c r="J269" s="92"/>
    </row>
    <row r="270" spans="4:10" ht="15.75" customHeight="1" x14ac:dyDescent="0.3">
      <c r="D270" s="3"/>
      <c r="E270" s="3"/>
      <c r="F270" s="3"/>
      <c r="G270" s="3"/>
      <c r="H270" s="3"/>
      <c r="I270" s="3"/>
      <c r="J270" s="92"/>
    </row>
    <row r="271" spans="4:10" ht="15.75" customHeight="1" x14ac:dyDescent="0.3">
      <c r="D271" s="3"/>
      <c r="E271" s="3"/>
      <c r="F271" s="3"/>
      <c r="G271" s="3"/>
      <c r="H271" s="3"/>
      <c r="I271" s="3"/>
      <c r="J271" s="92"/>
    </row>
    <row r="272" spans="4:10" ht="15.75" customHeight="1" x14ac:dyDescent="0.3">
      <c r="D272" s="3"/>
      <c r="E272" s="3"/>
      <c r="F272" s="3"/>
      <c r="G272" s="3"/>
      <c r="H272" s="3"/>
      <c r="I272" s="3"/>
      <c r="J272" s="92"/>
    </row>
    <row r="273" spans="4:10" ht="15.75" customHeight="1" x14ac:dyDescent="0.3">
      <c r="D273" s="3"/>
      <c r="E273" s="3"/>
      <c r="F273" s="3"/>
      <c r="G273" s="3"/>
      <c r="H273" s="3"/>
      <c r="I273" s="3"/>
      <c r="J273" s="92"/>
    </row>
    <row r="274" spans="4:10" ht="15.75" customHeight="1" x14ac:dyDescent="0.3">
      <c r="D274" s="3"/>
      <c r="E274" s="3"/>
      <c r="F274" s="3"/>
      <c r="G274" s="3"/>
      <c r="H274" s="3"/>
      <c r="I274" s="3"/>
      <c r="J274" s="92"/>
    </row>
    <row r="275" spans="4:10" ht="15.75" customHeight="1" x14ac:dyDescent="0.3">
      <c r="D275" s="3"/>
      <c r="E275" s="3"/>
      <c r="F275" s="3"/>
      <c r="G275" s="3"/>
      <c r="H275" s="3"/>
      <c r="I275" s="3"/>
      <c r="J275" s="92"/>
    </row>
    <row r="276" spans="4:10" ht="15.75" customHeight="1" x14ac:dyDescent="0.3">
      <c r="D276" s="3"/>
      <c r="E276" s="3"/>
      <c r="F276" s="3"/>
      <c r="G276" s="3"/>
      <c r="H276" s="3"/>
      <c r="I276" s="3"/>
      <c r="J276" s="92"/>
    </row>
    <row r="277" spans="4:10" ht="15.75" customHeight="1" x14ac:dyDescent="0.3">
      <c r="D277" s="3"/>
      <c r="E277" s="3"/>
      <c r="F277" s="3"/>
      <c r="G277" s="3"/>
      <c r="H277" s="3"/>
      <c r="I277" s="3"/>
      <c r="J277" s="92"/>
    </row>
    <row r="278" spans="4:10" ht="15.75" customHeight="1" x14ac:dyDescent="0.3">
      <c r="D278" s="3"/>
      <c r="E278" s="3"/>
      <c r="F278" s="3"/>
      <c r="G278" s="3"/>
      <c r="H278" s="3"/>
      <c r="I278" s="3"/>
      <c r="J278" s="92"/>
    </row>
    <row r="279" spans="4:10" ht="15.75" customHeight="1" x14ac:dyDescent="0.3">
      <c r="D279" s="3"/>
      <c r="E279" s="3"/>
      <c r="F279" s="3"/>
      <c r="G279" s="3"/>
      <c r="H279" s="3"/>
      <c r="I279" s="3"/>
      <c r="J279" s="92"/>
    </row>
    <row r="280" spans="4:10" ht="15.75" customHeight="1" x14ac:dyDescent="0.3">
      <c r="D280" s="3"/>
      <c r="E280" s="3"/>
      <c r="F280" s="3"/>
      <c r="G280" s="3"/>
      <c r="H280" s="3"/>
      <c r="I280" s="3"/>
      <c r="J280" s="92"/>
    </row>
    <row r="281" spans="4:10" ht="15.75" customHeight="1" x14ac:dyDescent="0.3">
      <c r="D281" s="3"/>
      <c r="E281" s="3"/>
      <c r="F281" s="3"/>
      <c r="G281" s="3"/>
      <c r="H281" s="3"/>
      <c r="I281" s="3"/>
      <c r="J281" s="92"/>
    </row>
    <row r="282" spans="4:10" ht="15.75" customHeight="1" x14ac:dyDescent="0.3">
      <c r="D282" s="3"/>
      <c r="E282" s="3"/>
      <c r="F282" s="3"/>
      <c r="G282" s="3"/>
      <c r="H282" s="3"/>
      <c r="I282" s="3"/>
      <c r="J282" s="92"/>
    </row>
    <row r="283" spans="4:10" ht="15.75" customHeight="1" x14ac:dyDescent="0.3">
      <c r="D283" s="3"/>
      <c r="E283" s="3"/>
      <c r="F283" s="3"/>
      <c r="G283" s="3"/>
      <c r="H283" s="3"/>
      <c r="I283" s="3"/>
      <c r="J283" s="92"/>
    </row>
    <row r="284" spans="4:10" ht="15.75" customHeight="1" x14ac:dyDescent="0.3">
      <c r="D284" s="3"/>
      <c r="E284" s="3"/>
      <c r="F284" s="3"/>
      <c r="G284" s="3"/>
      <c r="H284" s="3"/>
      <c r="I284" s="3"/>
      <c r="J284" s="92"/>
    </row>
    <row r="285" spans="4:10" ht="15.75" customHeight="1" x14ac:dyDescent="0.3">
      <c r="D285" s="3"/>
      <c r="E285" s="3"/>
      <c r="F285" s="3"/>
      <c r="G285" s="3"/>
      <c r="H285" s="3"/>
      <c r="I285" s="3"/>
      <c r="J285" s="92"/>
    </row>
    <row r="286" spans="4:10" ht="15.75" customHeight="1" x14ac:dyDescent="0.3">
      <c r="D286" s="3"/>
      <c r="E286" s="3"/>
      <c r="F286" s="3"/>
      <c r="G286" s="3"/>
      <c r="H286" s="3"/>
      <c r="I286" s="3"/>
      <c r="J286" s="92"/>
    </row>
    <row r="287" spans="4:10" ht="15.75" customHeight="1" x14ac:dyDescent="0.3">
      <c r="D287" s="3"/>
      <c r="E287" s="3"/>
      <c r="F287" s="3"/>
      <c r="G287" s="3"/>
      <c r="H287" s="3"/>
      <c r="I287" s="3"/>
      <c r="J287" s="92"/>
    </row>
    <row r="288" spans="4:10" ht="15.75" customHeight="1" x14ac:dyDescent="0.3">
      <c r="D288" s="3"/>
      <c r="E288" s="3"/>
      <c r="F288" s="3"/>
      <c r="G288" s="3"/>
      <c r="H288" s="3"/>
      <c r="I288" s="3"/>
      <c r="J288" s="92"/>
    </row>
    <row r="289" spans="4:10" ht="15.75" customHeight="1" x14ac:dyDescent="0.3">
      <c r="D289" s="3"/>
      <c r="E289" s="3"/>
      <c r="F289" s="3"/>
      <c r="G289" s="3"/>
      <c r="H289" s="3"/>
      <c r="I289" s="3"/>
      <c r="J289" s="92"/>
    </row>
    <row r="290" spans="4:10" ht="15.75" customHeight="1" x14ac:dyDescent="0.3">
      <c r="D290" s="3"/>
      <c r="E290" s="3"/>
      <c r="F290" s="3"/>
      <c r="G290" s="3"/>
      <c r="H290" s="3"/>
      <c r="I290" s="3"/>
      <c r="J290" s="92"/>
    </row>
    <row r="291" spans="4:10" ht="15.75" customHeight="1" x14ac:dyDescent="0.3">
      <c r="D291" s="3"/>
      <c r="E291" s="3"/>
      <c r="F291" s="3"/>
      <c r="G291" s="3"/>
      <c r="H291" s="3"/>
      <c r="I291" s="3"/>
      <c r="J291" s="92"/>
    </row>
    <row r="292" spans="4:10" ht="15.75" customHeight="1" x14ac:dyDescent="0.3">
      <c r="D292" s="3"/>
      <c r="E292" s="3"/>
      <c r="F292" s="3"/>
      <c r="G292" s="3"/>
      <c r="H292" s="3"/>
      <c r="I292" s="3"/>
      <c r="J292" s="92"/>
    </row>
    <row r="293" spans="4:10" ht="15.75" customHeight="1" x14ac:dyDescent="0.3">
      <c r="D293" s="3"/>
      <c r="E293" s="3"/>
      <c r="F293" s="3"/>
      <c r="G293" s="3"/>
      <c r="H293" s="3"/>
      <c r="I293" s="3"/>
      <c r="J293" s="92"/>
    </row>
    <row r="294" spans="4:10" ht="15.75" customHeight="1" x14ac:dyDescent="0.3">
      <c r="D294" s="3"/>
      <c r="E294" s="3"/>
      <c r="F294" s="3"/>
      <c r="G294" s="3"/>
      <c r="H294" s="3"/>
      <c r="I294" s="3"/>
      <c r="J294" s="92"/>
    </row>
    <row r="295" spans="4:10" ht="15.75" customHeight="1" x14ac:dyDescent="0.3">
      <c r="D295" s="3"/>
      <c r="E295" s="3"/>
      <c r="F295" s="3"/>
      <c r="G295" s="3"/>
      <c r="H295" s="3"/>
      <c r="I295" s="3"/>
      <c r="J295" s="92"/>
    </row>
    <row r="296" spans="4:10" ht="15.75" customHeight="1" x14ac:dyDescent="0.3">
      <c r="D296" s="3"/>
      <c r="E296" s="3"/>
      <c r="F296" s="3"/>
      <c r="G296" s="3"/>
      <c r="H296" s="3"/>
      <c r="I296" s="3"/>
      <c r="J296" s="92"/>
    </row>
    <row r="297" spans="4:10" ht="15.75" customHeight="1" x14ac:dyDescent="0.3">
      <c r="D297" s="3"/>
      <c r="E297" s="3"/>
      <c r="F297" s="3"/>
      <c r="G297" s="3"/>
      <c r="H297" s="3"/>
      <c r="I297" s="3"/>
      <c r="J297" s="92"/>
    </row>
    <row r="298" spans="4:10" ht="15.75" customHeight="1" x14ac:dyDescent="0.3">
      <c r="D298" s="3"/>
      <c r="E298" s="3"/>
      <c r="F298" s="3"/>
      <c r="G298" s="3"/>
      <c r="H298" s="3"/>
      <c r="I298" s="3"/>
      <c r="J298" s="92"/>
    </row>
    <row r="299" spans="4:10" ht="15.75" customHeight="1" x14ac:dyDescent="0.3">
      <c r="D299" s="3"/>
      <c r="E299" s="3"/>
      <c r="F299" s="3"/>
      <c r="G299" s="3"/>
      <c r="H299" s="3"/>
      <c r="I299" s="3"/>
      <c r="J299" s="92"/>
    </row>
    <row r="300" spans="4:10" ht="15.75" customHeight="1" x14ac:dyDescent="0.3">
      <c r="D300" s="3"/>
      <c r="E300" s="3"/>
      <c r="F300" s="3"/>
      <c r="G300" s="3"/>
      <c r="H300" s="3"/>
      <c r="I300" s="3"/>
      <c r="J300" s="92"/>
    </row>
    <row r="301" spans="4:10" ht="15.75" customHeight="1" x14ac:dyDescent="0.3">
      <c r="D301" s="3"/>
      <c r="E301" s="3"/>
      <c r="F301" s="3"/>
      <c r="G301" s="3"/>
      <c r="H301" s="3"/>
      <c r="I301" s="3"/>
      <c r="J301" s="92"/>
    </row>
    <row r="302" spans="4:10" ht="15.75" customHeight="1" x14ac:dyDescent="0.3">
      <c r="D302" s="3"/>
      <c r="E302" s="3"/>
      <c r="F302" s="3"/>
      <c r="G302" s="3"/>
      <c r="H302" s="3"/>
      <c r="I302" s="3"/>
      <c r="J302" s="92"/>
    </row>
    <row r="303" spans="4:10" ht="15.75" customHeight="1" x14ac:dyDescent="0.3">
      <c r="D303" s="3"/>
      <c r="E303" s="3"/>
      <c r="F303" s="3"/>
      <c r="G303" s="3"/>
      <c r="H303" s="3"/>
      <c r="I303" s="3"/>
      <c r="J303" s="92"/>
    </row>
    <row r="304" spans="4:10" ht="15.75" customHeight="1" x14ac:dyDescent="0.3">
      <c r="D304" s="3"/>
      <c r="E304" s="3"/>
      <c r="F304" s="3"/>
      <c r="G304" s="3"/>
      <c r="H304" s="3"/>
      <c r="I304" s="3"/>
      <c r="J304" s="92"/>
    </row>
    <row r="305" spans="4:10" ht="15.75" customHeight="1" x14ac:dyDescent="0.3">
      <c r="D305" s="3"/>
      <c r="E305" s="3"/>
      <c r="F305" s="3"/>
      <c r="G305" s="3"/>
      <c r="H305" s="3"/>
      <c r="I305" s="3"/>
      <c r="J305" s="92"/>
    </row>
    <row r="306" spans="4:10" ht="15.75" customHeight="1" x14ac:dyDescent="0.3">
      <c r="D306" s="3"/>
      <c r="E306" s="3"/>
      <c r="F306" s="3"/>
      <c r="G306" s="3"/>
      <c r="H306" s="3"/>
      <c r="I306" s="3"/>
      <c r="J306" s="92"/>
    </row>
    <row r="307" spans="4:10" ht="15.75" customHeight="1" x14ac:dyDescent="0.3">
      <c r="D307" s="3"/>
      <c r="E307" s="3"/>
      <c r="F307" s="3"/>
      <c r="G307" s="3"/>
      <c r="H307" s="3"/>
      <c r="I307" s="3"/>
      <c r="J307" s="92"/>
    </row>
    <row r="308" spans="4:10" ht="15.75" customHeight="1" x14ac:dyDescent="0.3">
      <c r="D308" s="3"/>
      <c r="E308" s="3"/>
      <c r="F308" s="3"/>
      <c r="G308" s="3"/>
      <c r="H308" s="3"/>
      <c r="I308" s="3"/>
      <c r="J308" s="92"/>
    </row>
    <row r="309" spans="4:10" ht="15.75" customHeight="1" x14ac:dyDescent="0.3">
      <c r="D309" s="3"/>
      <c r="E309" s="3"/>
      <c r="F309" s="3"/>
      <c r="G309" s="3"/>
      <c r="H309" s="3"/>
      <c r="I309" s="3"/>
      <c r="J309" s="92"/>
    </row>
    <row r="310" spans="4:10" ht="15.75" customHeight="1" x14ac:dyDescent="0.3">
      <c r="D310" s="3"/>
      <c r="E310" s="3"/>
      <c r="F310" s="3"/>
      <c r="G310" s="3"/>
      <c r="H310" s="3"/>
      <c r="I310" s="3"/>
      <c r="J310" s="92"/>
    </row>
    <row r="311" spans="4:10" ht="15.75" customHeight="1" x14ac:dyDescent="0.3">
      <c r="D311" s="3"/>
      <c r="E311" s="3"/>
      <c r="F311" s="3"/>
      <c r="G311" s="3"/>
      <c r="H311" s="3"/>
      <c r="I311" s="3"/>
      <c r="J311" s="92"/>
    </row>
    <row r="312" spans="4:10" ht="15.75" customHeight="1" x14ac:dyDescent="0.3">
      <c r="D312" s="3"/>
      <c r="E312" s="3"/>
      <c r="F312" s="3"/>
      <c r="G312" s="3"/>
      <c r="H312" s="3"/>
      <c r="I312" s="3"/>
      <c r="J312" s="92"/>
    </row>
    <row r="313" spans="4:10" ht="15.75" customHeight="1" x14ac:dyDescent="0.3">
      <c r="D313" s="3"/>
      <c r="E313" s="3"/>
      <c r="F313" s="3"/>
      <c r="G313" s="3"/>
      <c r="H313" s="3"/>
      <c r="I313" s="3"/>
      <c r="J313" s="92"/>
    </row>
    <row r="314" spans="4:10" ht="15.75" customHeight="1" x14ac:dyDescent="0.3">
      <c r="D314" s="3"/>
      <c r="E314" s="3"/>
      <c r="F314" s="3"/>
      <c r="G314" s="3"/>
      <c r="H314" s="3"/>
      <c r="I314" s="3"/>
      <c r="J314" s="92"/>
    </row>
    <row r="315" spans="4:10" ht="15.75" customHeight="1" x14ac:dyDescent="0.3">
      <c r="D315" s="3"/>
      <c r="E315" s="3"/>
      <c r="F315" s="3"/>
      <c r="G315" s="3"/>
      <c r="H315" s="3"/>
      <c r="I315" s="3"/>
      <c r="J315" s="92"/>
    </row>
    <row r="316" spans="4:10" ht="15.75" customHeight="1" x14ac:dyDescent="0.3">
      <c r="D316" s="3"/>
      <c r="E316" s="3"/>
      <c r="F316" s="3"/>
      <c r="G316" s="3"/>
      <c r="H316" s="3"/>
      <c r="I316" s="3"/>
      <c r="J316" s="92"/>
    </row>
    <row r="317" spans="4:10" ht="15.75" customHeight="1" x14ac:dyDescent="0.3">
      <c r="D317" s="3"/>
      <c r="E317" s="3"/>
      <c r="F317" s="3"/>
      <c r="G317" s="3"/>
      <c r="H317" s="3"/>
      <c r="I317" s="3"/>
      <c r="J317" s="92"/>
    </row>
    <row r="318" spans="4:10" ht="15.75" customHeight="1" x14ac:dyDescent="0.3">
      <c r="D318" s="3"/>
      <c r="E318" s="3"/>
      <c r="F318" s="3"/>
      <c r="G318" s="3"/>
      <c r="H318" s="3"/>
      <c r="I318" s="3"/>
      <c r="J318" s="92"/>
    </row>
    <row r="319" spans="4:10" ht="15.75" customHeight="1" x14ac:dyDescent="0.3">
      <c r="D319" s="3"/>
      <c r="E319" s="3"/>
      <c r="F319" s="3"/>
      <c r="G319" s="3"/>
      <c r="H319" s="3"/>
      <c r="I319" s="3"/>
      <c r="J319" s="92"/>
    </row>
    <row r="320" spans="4:10" ht="15.75" customHeight="1" x14ac:dyDescent="0.3">
      <c r="D320" s="3"/>
      <c r="E320" s="3"/>
      <c r="F320" s="3"/>
      <c r="G320" s="3"/>
      <c r="H320" s="3"/>
      <c r="I320" s="3"/>
      <c r="J320" s="92"/>
    </row>
    <row r="321" spans="4:10" ht="15.75" customHeight="1" x14ac:dyDescent="0.3">
      <c r="D321" s="3"/>
      <c r="E321" s="3"/>
      <c r="F321" s="3"/>
      <c r="G321" s="3"/>
      <c r="H321" s="3"/>
      <c r="I321" s="3"/>
      <c r="J321" s="92"/>
    </row>
    <row r="322" spans="4:10" ht="15.75" customHeight="1" x14ac:dyDescent="0.3">
      <c r="D322" s="3"/>
      <c r="E322" s="3"/>
      <c r="F322" s="3"/>
      <c r="G322" s="3"/>
      <c r="H322" s="3"/>
      <c r="I322" s="3"/>
      <c r="J322" s="92"/>
    </row>
    <row r="323" spans="4:10" ht="15.75" customHeight="1" x14ac:dyDescent="0.3">
      <c r="D323" s="3"/>
      <c r="E323" s="3"/>
      <c r="F323" s="3"/>
      <c r="G323" s="3"/>
      <c r="H323" s="3"/>
      <c r="I323" s="3"/>
      <c r="J323" s="92"/>
    </row>
    <row r="324" spans="4:10" ht="15.75" customHeight="1" x14ac:dyDescent="0.3">
      <c r="D324" s="3"/>
      <c r="E324" s="3"/>
      <c r="F324" s="3"/>
      <c r="G324" s="3"/>
      <c r="H324" s="3"/>
      <c r="I324" s="3"/>
      <c r="J324" s="92"/>
    </row>
    <row r="325" spans="4:10" ht="15.75" customHeight="1" x14ac:dyDescent="0.3">
      <c r="D325" s="3"/>
      <c r="E325" s="3"/>
      <c r="F325" s="3"/>
      <c r="G325" s="3"/>
      <c r="H325" s="3"/>
      <c r="I325" s="3"/>
      <c r="J325" s="92"/>
    </row>
    <row r="326" spans="4:10" ht="15.75" customHeight="1" x14ac:dyDescent="0.3">
      <c r="D326" s="3"/>
      <c r="E326" s="3"/>
      <c r="F326" s="3"/>
      <c r="G326" s="3"/>
      <c r="H326" s="3"/>
      <c r="I326" s="3"/>
      <c r="J326" s="92"/>
    </row>
    <row r="327" spans="4:10" ht="15.75" customHeight="1" x14ac:dyDescent="0.3">
      <c r="D327" s="3"/>
      <c r="E327" s="3"/>
      <c r="F327" s="3"/>
      <c r="G327" s="3"/>
      <c r="H327" s="3"/>
      <c r="I327" s="3"/>
      <c r="J327" s="92"/>
    </row>
    <row r="328" spans="4:10" ht="15.75" customHeight="1" x14ac:dyDescent="0.3">
      <c r="D328" s="3"/>
      <c r="E328" s="3"/>
      <c r="F328" s="3"/>
      <c r="G328" s="3"/>
      <c r="H328" s="3"/>
      <c r="I328" s="3"/>
      <c r="J328" s="92"/>
    </row>
    <row r="329" spans="4:10" ht="15.75" customHeight="1" x14ac:dyDescent="0.3">
      <c r="D329" s="3"/>
      <c r="E329" s="3"/>
      <c r="F329" s="3"/>
      <c r="G329" s="3"/>
      <c r="H329" s="3"/>
      <c r="I329" s="3"/>
      <c r="J329" s="92"/>
    </row>
    <row r="330" spans="4:10" ht="15.75" customHeight="1" x14ac:dyDescent="0.3">
      <c r="D330" s="3"/>
      <c r="E330" s="3"/>
      <c r="F330" s="3"/>
      <c r="G330" s="3"/>
      <c r="H330" s="3"/>
      <c r="I330" s="3"/>
      <c r="J330" s="92"/>
    </row>
    <row r="331" spans="4:10" ht="15.75" customHeight="1" x14ac:dyDescent="0.3">
      <c r="D331" s="3"/>
      <c r="E331" s="3"/>
      <c r="F331" s="3"/>
      <c r="G331" s="3"/>
      <c r="H331" s="3"/>
      <c r="I331" s="3"/>
      <c r="J331" s="92"/>
    </row>
    <row r="332" spans="4:10" ht="15.75" customHeight="1" x14ac:dyDescent="0.3">
      <c r="D332" s="3"/>
      <c r="E332" s="3"/>
      <c r="F332" s="3"/>
      <c r="G332" s="3"/>
      <c r="H332" s="3"/>
      <c r="I332" s="3"/>
      <c r="J332" s="92"/>
    </row>
    <row r="333" spans="4:10" ht="15.75" customHeight="1" x14ac:dyDescent="0.3">
      <c r="D333" s="3"/>
      <c r="E333" s="3"/>
      <c r="F333" s="3"/>
      <c r="G333" s="3"/>
      <c r="H333" s="3"/>
      <c r="I333" s="3"/>
      <c r="J333" s="92"/>
    </row>
    <row r="334" spans="4:10" ht="15.75" customHeight="1" x14ac:dyDescent="0.3">
      <c r="D334" s="3"/>
      <c r="E334" s="3"/>
      <c r="F334" s="3"/>
      <c r="G334" s="3"/>
      <c r="H334" s="3"/>
      <c r="I334" s="3"/>
      <c r="J334" s="92"/>
    </row>
    <row r="335" spans="4:10" ht="15.75" customHeight="1" x14ac:dyDescent="0.3">
      <c r="D335" s="3"/>
      <c r="E335" s="3"/>
      <c r="F335" s="3"/>
      <c r="G335" s="3"/>
      <c r="H335" s="3"/>
      <c r="I335" s="3"/>
      <c r="J335" s="92"/>
    </row>
    <row r="336" spans="4:10" ht="15.75" customHeight="1" x14ac:dyDescent="0.3">
      <c r="D336" s="3"/>
      <c r="E336" s="3"/>
      <c r="F336" s="3"/>
      <c r="G336" s="3"/>
      <c r="H336" s="3"/>
      <c r="I336" s="3"/>
      <c r="J336" s="92"/>
    </row>
    <row r="337" spans="4:10" ht="15.75" customHeight="1" x14ac:dyDescent="0.3">
      <c r="D337" s="3"/>
      <c r="E337" s="3"/>
      <c r="F337" s="3"/>
      <c r="G337" s="3"/>
      <c r="H337" s="3"/>
      <c r="I337" s="3"/>
      <c r="J337" s="92"/>
    </row>
    <row r="338" spans="4:10" ht="15.75" customHeight="1" x14ac:dyDescent="0.3">
      <c r="D338" s="3"/>
      <c r="E338" s="3"/>
      <c r="F338" s="3"/>
      <c r="G338" s="3"/>
      <c r="H338" s="3"/>
      <c r="I338" s="3"/>
      <c r="J338" s="92"/>
    </row>
    <row r="339" spans="4:10" ht="15.75" customHeight="1" x14ac:dyDescent="0.3">
      <c r="D339" s="3"/>
      <c r="E339" s="3"/>
      <c r="F339" s="3"/>
      <c r="G339" s="3"/>
      <c r="H339" s="3"/>
      <c r="I339" s="3"/>
      <c r="J339" s="92"/>
    </row>
    <row r="340" spans="4:10" ht="15.75" customHeight="1" x14ac:dyDescent="0.3">
      <c r="D340" s="3"/>
      <c r="E340" s="3"/>
      <c r="F340" s="3"/>
      <c r="G340" s="3"/>
      <c r="H340" s="3"/>
      <c r="I340" s="3"/>
      <c r="J340" s="92"/>
    </row>
    <row r="341" spans="4:10" ht="15.75" customHeight="1" x14ac:dyDescent="0.3">
      <c r="D341" s="3"/>
      <c r="E341" s="3"/>
      <c r="F341" s="3"/>
      <c r="G341" s="3"/>
      <c r="H341" s="3"/>
      <c r="I341" s="3"/>
      <c r="J341" s="92"/>
    </row>
    <row r="342" spans="4:10" ht="15.75" customHeight="1" x14ac:dyDescent="0.3">
      <c r="D342" s="3"/>
      <c r="E342" s="3"/>
      <c r="F342" s="3"/>
      <c r="G342" s="3"/>
      <c r="H342" s="3"/>
      <c r="I342" s="3"/>
      <c r="J342" s="92"/>
    </row>
    <row r="343" spans="4:10" ht="15.75" customHeight="1" x14ac:dyDescent="0.3">
      <c r="D343" s="3"/>
      <c r="E343" s="3"/>
      <c r="F343" s="3"/>
      <c r="G343" s="3"/>
      <c r="H343" s="3"/>
      <c r="I343" s="3"/>
      <c r="J343" s="92"/>
    </row>
    <row r="344" spans="4:10" ht="15.75" customHeight="1" x14ac:dyDescent="0.3">
      <c r="D344" s="3"/>
      <c r="E344" s="3"/>
      <c r="F344" s="3"/>
      <c r="G344" s="3"/>
      <c r="H344" s="3"/>
      <c r="I344" s="3"/>
      <c r="J344" s="92"/>
    </row>
    <row r="345" spans="4:10" ht="15.75" customHeight="1" x14ac:dyDescent="0.3">
      <c r="D345" s="3"/>
      <c r="E345" s="3"/>
      <c r="F345" s="3"/>
      <c r="G345" s="3"/>
      <c r="H345" s="3"/>
      <c r="I345" s="3"/>
      <c r="J345" s="92"/>
    </row>
    <row r="346" spans="4:10" ht="15.75" customHeight="1" x14ac:dyDescent="0.3">
      <c r="D346" s="3"/>
      <c r="E346" s="3"/>
      <c r="F346" s="3"/>
      <c r="G346" s="3"/>
      <c r="H346" s="3"/>
      <c r="I346" s="3"/>
      <c r="J346" s="92"/>
    </row>
    <row r="347" spans="4:10" ht="15.75" customHeight="1" x14ac:dyDescent="0.3">
      <c r="D347" s="3"/>
      <c r="E347" s="3"/>
      <c r="F347" s="3"/>
      <c r="G347" s="3"/>
      <c r="H347" s="3"/>
      <c r="I347" s="3"/>
      <c r="J347" s="92"/>
    </row>
    <row r="348" spans="4:10" ht="15.75" customHeight="1" x14ac:dyDescent="0.3">
      <c r="D348" s="3"/>
      <c r="E348" s="3"/>
      <c r="F348" s="3"/>
      <c r="G348" s="3"/>
      <c r="H348" s="3"/>
      <c r="I348" s="3"/>
      <c r="J348" s="92"/>
    </row>
    <row r="349" spans="4:10" ht="15.75" customHeight="1" x14ac:dyDescent="0.3">
      <c r="D349" s="3"/>
      <c r="E349" s="3"/>
      <c r="F349" s="3"/>
      <c r="G349" s="3"/>
      <c r="H349" s="3"/>
      <c r="I349" s="3"/>
      <c r="J349" s="92"/>
    </row>
    <row r="350" spans="4:10" ht="15.75" customHeight="1" x14ac:dyDescent="0.3">
      <c r="D350" s="3"/>
      <c r="E350" s="3"/>
      <c r="F350" s="3"/>
      <c r="G350" s="3"/>
      <c r="H350" s="3"/>
      <c r="I350" s="3"/>
      <c r="J350" s="92"/>
    </row>
    <row r="351" spans="4:10" ht="15.75" customHeight="1" x14ac:dyDescent="0.3">
      <c r="D351" s="3"/>
      <c r="E351" s="3"/>
      <c r="F351" s="3"/>
      <c r="G351" s="3"/>
      <c r="H351" s="3"/>
      <c r="I351" s="3"/>
      <c r="J351" s="92"/>
    </row>
    <row r="352" spans="4:10" ht="15.75" customHeight="1" x14ac:dyDescent="0.3">
      <c r="D352" s="3"/>
      <c r="E352" s="3"/>
      <c r="F352" s="3"/>
      <c r="G352" s="3"/>
      <c r="H352" s="3"/>
      <c r="I352" s="3"/>
      <c r="J352" s="92"/>
    </row>
    <row r="353" spans="4:10" ht="15.75" customHeight="1" x14ac:dyDescent="0.3">
      <c r="D353" s="3"/>
      <c r="E353" s="3"/>
      <c r="F353" s="3"/>
      <c r="G353" s="3"/>
      <c r="H353" s="3"/>
      <c r="I353" s="3"/>
      <c r="J353" s="92"/>
    </row>
    <row r="354" spans="4:10" ht="15.75" customHeight="1" x14ac:dyDescent="0.3">
      <c r="D354" s="3"/>
      <c r="E354" s="3"/>
      <c r="F354" s="3"/>
      <c r="G354" s="3"/>
      <c r="H354" s="3"/>
      <c r="I354" s="3"/>
      <c r="J354" s="92"/>
    </row>
    <row r="355" spans="4:10" ht="15.75" customHeight="1" x14ac:dyDescent="0.3">
      <c r="D355" s="3"/>
      <c r="E355" s="3"/>
      <c r="F355" s="3"/>
      <c r="G355" s="3"/>
      <c r="H355" s="3"/>
      <c r="I355" s="3"/>
      <c r="J355" s="92"/>
    </row>
    <row r="356" spans="4:10" ht="15.75" customHeight="1" x14ac:dyDescent="0.3">
      <c r="D356" s="3"/>
      <c r="E356" s="3"/>
      <c r="F356" s="3"/>
      <c r="G356" s="3"/>
      <c r="H356" s="3"/>
      <c r="I356" s="3"/>
      <c r="J356" s="92"/>
    </row>
    <row r="357" spans="4:10" ht="15.75" customHeight="1" x14ac:dyDescent="0.3">
      <c r="D357" s="3"/>
      <c r="E357" s="3"/>
      <c r="F357" s="3"/>
      <c r="G357" s="3"/>
      <c r="H357" s="3"/>
      <c r="I357" s="3"/>
      <c r="J357" s="92"/>
    </row>
    <row r="358" spans="4:10" ht="15.75" customHeight="1" x14ac:dyDescent="0.3">
      <c r="D358" s="3"/>
      <c r="E358" s="3"/>
      <c r="F358" s="3"/>
      <c r="G358" s="3"/>
      <c r="H358" s="3"/>
      <c r="I358" s="3"/>
      <c r="J358" s="92"/>
    </row>
    <row r="359" spans="4:10" ht="15.75" customHeight="1" x14ac:dyDescent="0.3">
      <c r="D359" s="3"/>
      <c r="E359" s="3"/>
      <c r="F359" s="3"/>
      <c r="G359" s="3"/>
      <c r="H359" s="3"/>
      <c r="I359" s="3"/>
      <c r="J359" s="92"/>
    </row>
    <row r="360" spans="4:10" ht="15.75" customHeight="1" x14ac:dyDescent="0.3">
      <c r="D360" s="3"/>
      <c r="E360" s="3"/>
      <c r="F360" s="3"/>
      <c r="G360" s="3"/>
      <c r="H360" s="3"/>
      <c r="I360" s="3"/>
      <c r="J360" s="92"/>
    </row>
    <row r="361" spans="4:10" ht="15.75" customHeight="1" x14ac:dyDescent="0.3">
      <c r="D361" s="3"/>
      <c r="E361" s="3"/>
      <c r="F361" s="3"/>
      <c r="G361" s="3"/>
      <c r="H361" s="3"/>
      <c r="I361" s="3"/>
      <c r="J361" s="92"/>
    </row>
    <row r="362" spans="4:10" ht="15.75" customHeight="1" x14ac:dyDescent="0.3">
      <c r="D362" s="3"/>
      <c r="E362" s="3"/>
      <c r="F362" s="3"/>
      <c r="G362" s="3"/>
      <c r="H362" s="3"/>
      <c r="I362" s="3"/>
      <c r="J362" s="92"/>
    </row>
    <row r="363" spans="4:10" ht="15.75" customHeight="1" x14ac:dyDescent="0.3">
      <c r="D363" s="3"/>
      <c r="E363" s="3"/>
      <c r="F363" s="3"/>
      <c r="G363" s="3"/>
      <c r="H363" s="3"/>
      <c r="I363" s="3"/>
      <c r="J363" s="92"/>
    </row>
    <row r="364" spans="4:10" ht="15.75" customHeight="1" x14ac:dyDescent="0.3">
      <c r="D364" s="3"/>
      <c r="E364" s="3"/>
      <c r="F364" s="3"/>
      <c r="G364" s="3"/>
      <c r="H364" s="3"/>
      <c r="I364" s="3"/>
      <c r="J364" s="92"/>
    </row>
    <row r="365" spans="4:10" ht="15.75" customHeight="1" x14ac:dyDescent="0.3">
      <c r="D365" s="3"/>
      <c r="E365" s="3"/>
      <c r="F365" s="3"/>
      <c r="G365" s="3"/>
      <c r="H365" s="3"/>
      <c r="I365" s="3"/>
      <c r="J365" s="92"/>
    </row>
    <row r="366" spans="4:10" ht="15.75" customHeight="1" x14ac:dyDescent="0.3">
      <c r="D366" s="3"/>
      <c r="E366" s="3"/>
      <c r="F366" s="3"/>
      <c r="G366" s="3"/>
      <c r="H366" s="3"/>
      <c r="I366" s="3"/>
      <c r="J366" s="92"/>
    </row>
    <row r="367" spans="4:10" ht="15.75" customHeight="1" x14ac:dyDescent="0.3">
      <c r="D367" s="3"/>
      <c r="E367" s="3"/>
      <c r="F367" s="3"/>
      <c r="G367" s="3"/>
      <c r="H367" s="3"/>
      <c r="I367" s="3"/>
      <c r="J367" s="92"/>
    </row>
    <row r="368" spans="4:10" ht="15.75" customHeight="1" x14ac:dyDescent="0.3">
      <c r="D368" s="3"/>
      <c r="E368" s="3"/>
      <c r="F368" s="3"/>
      <c r="G368" s="3"/>
      <c r="H368" s="3"/>
      <c r="I368" s="3"/>
      <c r="J368" s="92"/>
    </row>
    <row r="369" spans="4:10" ht="15.75" customHeight="1" x14ac:dyDescent="0.3">
      <c r="D369" s="3"/>
      <c r="E369" s="3"/>
      <c r="F369" s="3"/>
      <c r="G369" s="3"/>
      <c r="H369" s="3"/>
      <c r="I369" s="3"/>
      <c r="J369" s="92"/>
    </row>
    <row r="370" spans="4:10" ht="15.75" customHeight="1" x14ac:dyDescent="0.3">
      <c r="D370" s="3"/>
      <c r="E370" s="3"/>
      <c r="F370" s="3"/>
      <c r="G370" s="3"/>
      <c r="H370" s="3"/>
      <c r="I370" s="3"/>
      <c r="J370" s="92"/>
    </row>
    <row r="371" spans="4:10" ht="15.75" customHeight="1" x14ac:dyDescent="0.3">
      <c r="D371" s="3"/>
      <c r="E371" s="3"/>
      <c r="F371" s="3"/>
      <c r="G371" s="3"/>
      <c r="H371" s="3"/>
      <c r="I371" s="3"/>
      <c r="J371" s="92"/>
    </row>
    <row r="372" spans="4:10" ht="15.75" customHeight="1" x14ac:dyDescent="0.3">
      <c r="D372" s="3"/>
      <c r="E372" s="3"/>
      <c r="F372" s="3"/>
      <c r="G372" s="3"/>
      <c r="H372" s="3"/>
      <c r="I372" s="3"/>
      <c r="J372" s="92"/>
    </row>
    <row r="373" spans="4:10" ht="15.75" customHeight="1" x14ac:dyDescent="0.3">
      <c r="D373" s="3"/>
      <c r="E373" s="3"/>
      <c r="F373" s="3"/>
      <c r="G373" s="3"/>
      <c r="H373" s="3"/>
      <c r="I373" s="3"/>
      <c r="J373" s="92"/>
    </row>
    <row r="374" spans="4:10" ht="15.75" customHeight="1" x14ac:dyDescent="0.3">
      <c r="D374" s="3"/>
      <c r="E374" s="3"/>
      <c r="F374" s="3"/>
      <c r="G374" s="3"/>
      <c r="H374" s="3"/>
      <c r="I374" s="3"/>
      <c r="J374" s="92"/>
    </row>
    <row r="375" spans="4:10" ht="15.75" customHeight="1" x14ac:dyDescent="0.3">
      <c r="D375" s="3"/>
      <c r="E375" s="3"/>
      <c r="F375" s="3"/>
      <c r="G375" s="3"/>
      <c r="H375" s="3"/>
      <c r="I375" s="3"/>
      <c r="J375" s="92"/>
    </row>
    <row r="376" spans="4:10" ht="15.75" customHeight="1" x14ac:dyDescent="0.3">
      <c r="D376" s="3"/>
      <c r="E376" s="3"/>
      <c r="F376" s="3"/>
      <c r="G376" s="3"/>
      <c r="H376" s="3"/>
      <c r="I376" s="3"/>
      <c r="J376" s="92"/>
    </row>
    <row r="377" spans="4:10" ht="15.75" customHeight="1" x14ac:dyDescent="0.3">
      <c r="D377" s="3"/>
      <c r="E377" s="3"/>
      <c r="F377" s="3"/>
      <c r="G377" s="3"/>
      <c r="H377" s="3"/>
      <c r="I377" s="3"/>
      <c r="J377" s="92"/>
    </row>
    <row r="378" spans="4:10" ht="15.75" customHeight="1" x14ac:dyDescent="0.3">
      <c r="D378" s="3"/>
      <c r="E378" s="3"/>
      <c r="F378" s="3"/>
      <c r="G378" s="3"/>
      <c r="H378" s="3"/>
      <c r="I378" s="3"/>
      <c r="J378" s="92"/>
    </row>
    <row r="379" spans="4:10" ht="15.75" customHeight="1" x14ac:dyDescent="0.3">
      <c r="D379" s="3"/>
      <c r="E379" s="3"/>
      <c r="F379" s="3"/>
      <c r="G379" s="3"/>
      <c r="H379" s="3"/>
      <c r="I379" s="3"/>
      <c r="J379" s="92"/>
    </row>
    <row r="380" spans="4:10" ht="15.75" customHeight="1" x14ac:dyDescent="0.3">
      <c r="D380" s="3"/>
      <c r="E380" s="3"/>
      <c r="F380" s="3"/>
      <c r="G380" s="3"/>
      <c r="H380" s="3"/>
      <c r="I380" s="3"/>
      <c r="J380" s="92"/>
    </row>
    <row r="381" spans="4:10" ht="15.75" customHeight="1" x14ac:dyDescent="0.3">
      <c r="D381" s="3"/>
      <c r="E381" s="3"/>
      <c r="F381" s="3"/>
      <c r="G381" s="3"/>
      <c r="H381" s="3"/>
      <c r="I381" s="3"/>
      <c r="J381" s="92"/>
    </row>
    <row r="382" spans="4:10" ht="15.75" customHeight="1" x14ac:dyDescent="0.3">
      <c r="D382" s="3"/>
      <c r="E382" s="3"/>
      <c r="F382" s="3"/>
      <c r="G382" s="3"/>
      <c r="H382" s="3"/>
      <c r="I382" s="3"/>
      <c r="J382" s="92"/>
    </row>
    <row r="383" spans="4:10" ht="15.75" customHeight="1" x14ac:dyDescent="0.3">
      <c r="D383" s="3"/>
      <c r="E383" s="3"/>
      <c r="F383" s="3"/>
      <c r="G383" s="3"/>
      <c r="H383" s="3"/>
      <c r="I383" s="3"/>
      <c r="J383" s="92"/>
    </row>
    <row r="384" spans="4:10" ht="15.75" customHeight="1" x14ac:dyDescent="0.3">
      <c r="D384" s="3"/>
      <c r="E384" s="3"/>
      <c r="F384" s="3"/>
      <c r="G384" s="3"/>
      <c r="H384" s="3"/>
      <c r="I384" s="3"/>
      <c r="J384" s="92"/>
    </row>
    <row r="385" spans="4:10" ht="15.75" customHeight="1" x14ac:dyDescent="0.3">
      <c r="D385" s="3"/>
      <c r="E385" s="3"/>
      <c r="F385" s="3"/>
      <c r="G385" s="3"/>
      <c r="H385" s="3"/>
      <c r="I385" s="3"/>
      <c r="J385" s="92"/>
    </row>
    <row r="386" spans="4:10" ht="15.75" customHeight="1" x14ac:dyDescent="0.3">
      <c r="D386" s="3"/>
      <c r="E386" s="3"/>
      <c r="F386" s="3"/>
      <c r="G386" s="3"/>
      <c r="H386" s="3"/>
      <c r="I386" s="3"/>
      <c r="J386" s="92"/>
    </row>
    <row r="387" spans="4:10" ht="15.75" customHeight="1" x14ac:dyDescent="0.3">
      <c r="D387" s="3"/>
      <c r="E387" s="3"/>
      <c r="F387" s="3"/>
      <c r="G387" s="3"/>
      <c r="H387" s="3"/>
      <c r="I387" s="3"/>
      <c r="J387" s="92"/>
    </row>
    <row r="388" spans="4:10" ht="15.75" customHeight="1" x14ac:dyDescent="0.3">
      <c r="D388" s="3"/>
      <c r="E388" s="3"/>
      <c r="F388" s="3"/>
      <c r="G388" s="3"/>
      <c r="H388" s="3"/>
      <c r="I388" s="3"/>
      <c r="J388" s="92"/>
    </row>
    <row r="389" spans="4:10" ht="15.75" customHeight="1" x14ac:dyDescent="0.3">
      <c r="D389" s="3"/>
      <c r="E389" s="3"/>
      <c r="F389" s="3"/>
      <c r="G389" s="3"/>
      <c r="H389" s="3"/>
      <c r="I389" s="3"/>
      <c r="J389" s="92"/>
    </row>
    <row r="390" spans="4:10" ht="15.75" customHeight="1" x14ac:dyDescent="0.3">
      <c r="D390" s="3"/>
      <c r="E390" s="3"/>
      <c r="F390" s="3"/>
      <c r="G390" s="3"/>
      <c r="H390" s="3"/>
      <c r="I390" s="3"/>
      <c r="J390" s="92"/>
    </row>
    <row r="391" spans="4:10" ht="15.75" customHeight="1" x14ac:dyDescent="0.3">
      <c r="D391" s="3"/>
      <c r="E391" s="3"/>
      <c r="F391" s="3"/>
      <c r="G391" s="3"/>
      <c r="H391" s="3"/>
      <c r="I391" s="3"/>
      <c r="J391" s="92"/>
    </row>
    <row r="392" spans="4:10" ht="15.75" customHeight="1" x14ac:dyDescent="0.3">
      <c r="D392" s="3"/>
      <c r="E392" s="3"/>
      <c r="F392" s="3"/>
      <c r="G392" s="3"/>
      <c r="H392" s="3"/>
      <c r="I392" s="3"/>
      <c r="J392" s="92"/>
    </row>
    <row r="393" spans="4:10" ht="15.75" customHeight="1" x14ac:dyDescent="0.3">
      <c r="D393" s="3"/>
      <c r="E393" s="3"/>
      <c r="F393" s="3"/>
      <c r="G393" s="3"/>
      <c r="H393" s="3"/>
      <c r="I393" s="3"/>
      <c r="J393" s="92"/>
    </row>
    <row r="394" spans="4:10" ht="15.75" customHeight="1" x14ac:dyDescent="0.3">
      <c r="D394" s="3"/>
      <c r="E394" s="3"/>
      <c r="F394" s="3"/>
      <c r="G394" s="3"/>
      <c r="H394" s="3"/>
      <c r="I394" s="3"/>
      <c r="J394" s="92"/>
    </row>
    <row r="395" spans="4:10" ht="15.75" customHeight="1" x14ac:dyDescent="0.3">
      <c r="D395" s="3"/>
      <c r="E395" s="3"/>
      <c r="F395" s="3"/>
      <c r="G395" s="3"/>
      <c r="H395" s="3"/>
      <c r="I395" s="3"/>
      <c r="J395" s="92"/>
    </row>
    <row r="396" spans="4:10" ht="15.75" customHeight="1" x14ac:dyDescent="0.3">
      <c r="D396" s="3"/>
      <c r="E396" s="3"/>
      <c r="F396" s="3"/>
      <c r="G396" s="3"/>
      <c r="H396" s="3"/>
      <c r="I396" s="3"/>
      <c r="J396" s="92"/>
    </row>
    <row r="397" spans="4:10" ht="15.75" customHeight="1" x14ac:dyDescent="0.3">
      <c r="D397" s="3"/>
      <c r="E397" s="3"/>
      <c r="F397" s="3"/>
      <c r="G397" s="3"/>
      <c r="H397" s="3"/>
      <c r="I397" s="3"/>
      <c r="J397" s="92"/>
    </row>
    <row r="398" spans="4:10" ht="15.75" customHeight="1" x14ac:dyDescent="0.3">
      <c r="D398" s="3"/>
      <c r="E398" s="3"/>
      <c r="F398" s="3"/>
      <c r="G398" s="3"/>
      <c r="H398" s="3"/>
      <c r="I398" s="3"/>
      <c r="J398" s="92"/>
    </row>
    <row r="399" spans="4:10" ht="15.75" customHeight="1" x14ac:dyDescent="0.3">
      <c r="D399" s="3"/>
      <c r="E399" s="3"/>
      <c r="F399" s="3"/>
      <c r="G399" s="3"/>
      <c r="H399" s="3"/>
      <c r="I399" s="3"/>
      <c r="J399" s="92"/>
    </row>
    <row r="400" spans="4:10" ht="15.75" customHeight="1" x14ac:dyDescent="0.3">
      <c r="D400" s="3"/>
      <c r="E400" s="3"/>
      <c r="F400" s="3"/>
      <c r="G400" s="3"/>
      <c r="H400" s="3"/>
      <c r="I400" s="3"/>
      <c r="J400" s="92"/>
    </row>
    <row r="401" spans="4:10" ht="15.75" customHeight="1" x14ac:dyDescent="0.3">
      <c r="D401" s="3"/>
      <c r="E401" s="3"/>
      <c r="F401" s="3"/>
      <c r="G401" s="3"/>
      <c r="H401" s="3"/>
      <c r="I401" s="3"/>
      <c r="J401" s="92"/>
    </row>
    <row r="402" spans="4:10" ht="15.75" customHeight="1" x14ac:dyDescent="0.3">
      <c r="D402" s="3"/>
      <c r="E402" s="3"/>
      <c r="F402" s="3"/>
      <c r="G402" s="3"/>
      <c r="H402" s="3"/>
      <c r="I402" s="3"/>
      <c r="J402" s="92"/>
    </row>
    <row r="403" spans="4:10" ht="15.75" customHeight="1" x14ac:dyDescent="0.3">
      <c r="D403" s="3"/>
      <c r="E403" s="3"/>
      <c r="F403" s="3"/>
      <c r="G403" s="3"/>
      <c r="H403" s="3"/>
      <c r="I403" s="3"/>
      <c r="J403" s="92"/>
    </row>
    <row r="404" spans="4:10" ht="15.75" customHeight="1" x14ac:dyDescent="0.3">
      <c r="D404" s="3"/>
      <c r="E404" s="3"/>
      <c r="F404" s="3"/>
      <c r="G404" s="3"/>
      <c r="H404" s="3"/>
      <c r="I404" s="3"/>
      <c r="J404" s="92"/>
    </row>
    <row r="405" spans="4:10" ht="15.75" customHeight="1" x14ac:dyDescent="0.3">
      <c r="D405" s="3"/>
      <c r="E405" s="3"/>
      <c r="F405" s="3"/>
      <c r="G405" s="3"/>
      <c r="H405" s="3"/>
      <c r="I405" s="3"/>
      <c r="J405" s="92"/>
    </row>
    <row r="406" spans="4:10" ht="15.75" customHeight="1" x14ac:dyDescent="0.3">
      <c r="D406" s="3"/>
      <c r="E406" s="3"/>
      <c r="F406" s="3"/>
      <c r="G406" s="3"/>
      <c r="H406" s="3"/>
      <c r="I406" s="3"/>
      <c r="J406" s="92"/>
    </row>
    <row r="407" spans="4:10" ht="15.75" customHeight="1" x14ac:dyDescent="0.3">
      <c r="D407" s="3"/>
      <c r="E407" s="3"/>
      <c r="F407" s="3"/>
      <c r="G407" s="3"/>
      <c r="H407" s="3"/>
      <c r="I407" s="3"/>
      <c r="J407" s="92"/>
    </row>
    <row r="408" spans="4:10" ht="15.75" customHeight="1" x14ac:dyDescent="0.3">
      <c r="D408" s="3"/>
      <c r="E408" s="3"/>
      <c r="F408" s="3"/>
      <c r="G408" s="3"/>
      <c r="H408" s="3"/>
      <c r="I408" s="3"/>
      <c r="J408" s="92"/>
    </row>
    <row r="409" spans="4:10" ht="15.75" customHeight="1" x14ac:dyDescent="0.3">
      <c r="D409" s="3"/>
      <c r="E409" s="3"/>
      <c r="F409" s="3"/>
      <c r="G409" s="3"/>
      <c r="H409" s="3"/>
      <c r="I409" s="3"/>
      <c r="J409" s="92"/>
    </row>
    <row r="410" spans="4:10" ht="15.75" customHeight="1" x14ac:dyDescent="0.3">
      <c r="D410" s="3"/>
      <c r="E410" s="3"/>
      <c r="F410" s="3"/>
      <c r="G410" s="3"/>
      <c r="H410" s="3"/>
      <c r="I410" s="3"/>
      <c r="J410" s="92"/>
    </row>
    <row r="411" spans="4:10" ht="15.75" customHeight="1" x14ac:dyDescent="0.3">
      <c r="D411" s="3"/>
      <c r="E411" s="3"/>
      <c r="F411" s="3"/>
      <c r="G411" s="3"/>
      <c r="H411" s="3"/>
      <c r="I411" s="3"/>
      <c r="J411" s="92"/>
    </row>
    <row r="412" spans="4:10" ht="15.75" customHeight="1" x14ac:dyDescent="0.3">
      <c r="D412" s="3"/>
      <c r="E412" s="3"/>
      <c r="F412" s="3"/>
      <c r="G412" s="3"/>
      <c r="H412" s="3"/>
      <c r="I412" s="3"/>
      <c r="J412" s="92"/>
    </row>
    <row r="413" spans="4:10" ht="15.75" customHeight="1" x14ac:dyDescent="0.3">
      <c r="D413" s="3"/>
      <c r="E413" s="3"/>
      <c r="F413" s="3"/>
      <c r="G413" s="3"/>
      <c r="H413" s="3"/>
      <c r="I413" s="3"/>
      <c r="J413" s="92"/>
    </row>
    <row r="414" spans="4:10" ht="15.75" customHeight="1" x14ac:dyDescent="0.3">
      <c r="D414" s="3"/>
      <c r="E414" s="3"/>
      <c r="F414" s="3"/>
      <c r="G414" s="3"/>
      <c r="H414" s="3"/>
      <c r="I414" s="3"/>
      <c r="J414" s="92"/>
    </row>
    <row r="415" spans="4:10" ht="15.75" customHeight="1" x14ac:dyDescent="0.3">
      <c r="D415" s="3"/>
      <c r="E415" s="3"/>
      <c r="F415" s="3"/>
      <c r="G415" s="3"/>
      <c r="H415" s="3"/>
      <c r="I415" s="3"/>
      <c r="J415" s="92"/>
    </row>
    <row r="416" spans="4:10" ht="15.75" customHeight="1" x14ac:dyDescent="0.3">
      <c r="D416" s="3"/>
      <c r="E416" s="3"/>
      <c r="F416" s="3"/>
      <c r="G416" s="3"/>
      <c r="H416" s="3"/>
      <c r="I416" s="3"/>
      <c r="J416" s="92"/>
    </row>
    <row r="417" spans="4:10" ht="15.75" customHeight="1" x14ac:dyDescent="0.3">
      <c r="D417" s="3"/>
      <c r="E417" s="3"/>
      <c r="F417" s="3"/>
      <c r="G417" s="3"/>
      <c r="H417" s="3"/>
      <c r="I417" s="3"/>
      <c r="J417" s="92"/>
    </row>
    <row r="418" spans="4:10" ht="15.75" customHeight="1" x14ac:dyDescent="0.3">
      <c r="D418" s="3"/>
      <c r="E418" s="3"/>
      <c r="F418" s="3"/>
      <c r="G418" s="3"/>
      <c r="H418" s="3"/>
      <c r="I418" s="3"/>
      <c r="J418" s="92"/>
    </row>
    <row r="419" spans="4:10" ht="15.75" customHeight="1" x14ac:dyDescent="0.3">
      <c r="D419" s="3"/>
      <c r="E419" s="3"/>
      <c r="F419" s="3"/>
      <c r="G419" s="3"/>
      <c r="H419" s="3"/>
      <c r="I419" s="3"/>
      <c r="J419" s="92"/>
    </row>
    <row r="420" spans="4:10" ht="15.75" customHeight="1" x14ac:dyDescent="0.3">
      <c r="D420" s="3"/>
      <c r="E420" s="3"/>
      <c r="F420" s="3"/>
      <c r="G420" s="3"/>
      <c r="H420" s="3"/>
      <c r="I420" s="3"/>
      <c r="J420" s="92"/>
    </row>
    <row r="421" spans="4:10" ht="15.75" customHeight="1" x14ac:dyDescent="0.3">
      <c r="D421" s="3"/>
      <c r="E421" s="3"/>
      <c r="F421" s="3"/>
      <c r="G421" s="3"/>
      <c r="H421" s="3"/>
      <c r="I421" s="3"/>
      <c r="J421" s="92"/>
    </row>
    <row r="422" spans="4:10" ht="15.75" customHeight="1" x14ac:dyDescent="0.3">
      <c r="D422" s="3"/>
      <c r="E422" s="3"/>
      <c r="F422" s="3"/>
      <c r="G422" s="3"/>
      <c r="H422" s="3"/>
      <c r="I422" s="3"/>
      <c r="J422" s="92"/>
    </row>
    <row r="423" spans="4:10" ht="15.75" customHeight="1" x14ac:dyDescent="0.3">
      <c r="D423" s="3"/>
      <c r="E423" s="3"/>
      <c r="F423" s="3"/>
      <c r="G423" s="3"/>
      <c r="H423" s="3"/>
      <c r="I423" s="3"/>
      <c r="J423" s="92"/>
    </row>
    <row r="424" spans="4:10" ht="15.75" customHeight="1" x14ac:dyDescent="0.3">
      <c r="D424" s="3"/>
      <c r="E424" s="3"/>
      <c r="F424" s="3"/>
      <c r="G424" s="3"/>
      <c r="H424" s="3"/>
      <c r="I424" s="3"/>
      <c r="J424" s="92"/>
    </row>
    <row r="425" spans="4:10" ht="15.75" customHeight="1" x14ac:dyDescent="0.3">
      <c r="D425" s="3"/>
      <c r="E425" s="3"/>
      <c r="F425" s="3"/>
      <c r="G425" s="3"/>
      <c r="H425" s="3"/>
      <c r="I425" s="3"/>
      <c r="J425" s="92"/>
    </row>
    <row r="426" spans="4:10" ht="15.75" customHeight="1" x14ac:dyDescent="0.3">
      <c r="D426" s="3"/>
      <c r="E426" s="3"/>
      <c r="F426" s="3"/>
      <c r="G426" s="3"/>
      <c r="H426" s="3"/>
      <c r="I426" s="3"/>
      <c r="J426" s="92"/>
    </row>
    <row r="427" spans="4:10" ht="15.75" customHeight="1" x14ac:dyDescent="0.3">
      <c r="D427" s="3"/>
      <c r="E427" s="3"/>
      <c r="F427" s="3"/>
      <c r="G427" s="3"/>
      <c r="H427" s="3"/>
      <c r="I427" s="3"/>
      <c r="J427" s="92"/>
    </row>
    <row r="428" spans="4:10" ht="15.75" customHeight="1" x14ac:dyDescent="0.3">
      <c r="D428" s="3"/>
      <c r="E428" s="3"/>
      <c r="F428" s="3"/>
      <c r="G428" s="3"/>
      <c r="H428" s="3"/>
      <c r="I428" s="3"/>
      <c r="J428" s="92"/>
    </row>
    <row r="429" spans="4:10" ht="15.75" customHeight="1" x14ac:dyDescent="0.3">
      <c r="D429" s="3"/>
      <c r="E429" s="3"/>
      <c r="F429" s="3"/>
      <c r="G429" s="3"/>
      <c r="H429" s="3"/>
      <c r="I429" s="3"/>
      <c r="J429" s="92"/>
    </row>
    <row r="430" spans="4:10" ht="15.75" customHeight="1" x14ac:dyDescent="0.3">
      <c r="D430" s="3"/>
      <c r="E430" s="3"/>
      <c r="F430" s="3"/>
      <c r="G430" s="3"/>
      <c r="H430" s="3"/>
      <c r="I430" s="3"/>
      <c r="J430" s="92"/>
    </row>
    <row r="431" spans="4:10" ht="15.75" customHeight="1" x14ac:dyDescent="0.3">
      <c r="D431" s="3"/>
      <c r="E431" s="3"/>
      <c r="F431" s="3"/>
      <c r="G431" s="3"/>
      <c r="H431" s="3"/>
      <c r="I431" s="3"/>
      <c r="J431" s="92"/>
    </row>
    <row r="432" spans="4:10" ht="15.75" customHeight="1" x14ac:dyDescent="0.3">
      <c r="D432" s="3"/>
      <c r="E432" s="3"/>
      <c r="F432" s="3"/>
      <c r="G432" s="3"/>
      <c r="H432" s="3"/>
      <c r="I432" s="3"/>
      <c r="J432" s="92"/>
    </row>
    <row r="433" spans="4:10" ht="15.75" customHeight="1" x14ac:dyDescent="0.3">
      <c r="D433" s="3"/>
      <c r="E433" s="3"/>
      <c r="F433" s="3"/>
      <c r="G433" s="3"/>
      <c r="H433" s="3"/>
      <c r="I433" s="3"/>
      <c r="J433" s="92"/>
    </row>
    <row r="434" spans="4:10" ht="15.75" customHeight="1" x14ac:dyDescent="0.3">
      <c r="D434" s="3"/>
      <c r="E434" s="3"/>
      <c r="F434" s="3"/>
      <c r="G434" s="3"/>
      <c r="H434" s="3"/>
      <c r="I434" s="3"/>
      <c r="J434" s="92"/>
    </row>
    <row r="435" spans="4:10" ht="15.75" customHeight="1" x14ac:dyDescent="0.3">
      <c r="D435" s="3"/>
      <c r="E435" s="3"/>
      <c r="F435" s="3"/>
      <c r="G435" s="3"/>
      <c r="H435" s="3"/>
      <c r="I435" s="3"/>
      <c r="J435" s="92"/>
    </row>
    <row r="436" spans="4:10" ht="15.75" customHeight="1" x14ac:dyDescent="0.3">
      <c r="D436" s="3"/>
      <c r="E436" s="3"/>
      <c r="F436" s="3"/>
      <c r="G436" s="3"/>
      <c r="H436" s="3"/>
      <c r="I436" s="3"/>
      <c r="J436" s="92"/>
    </row>
    <row r="437" spans="4:10" ht="15.75" customHeight="1" x14ac:dyDescent="0.3">
      <c r="D437" s="3"/>
      <c r="E437" s="3"/>
      <c r="F437" s="3"/>
      <c r="G437" s="3"/>
      <c r="H437" s="3"/>
      <c r="I437" s="3"/>
      <c r="J437" s="92"/>
    </row>
    <row r="438" spans="4:10" ht="15.75" customHeight="1" x14ac:dyDescent="0.3">
      <c r="D438" s="3"/>
      <c r="E438" s="3"/>
      <c r="F438" s="3"/>
      <c r="G438" s="3"/>
      <c r="H438" s="3"/>
      <c r="I438" s="3"/>
      <c r="J438" s="92"/>
    </row>
    <row r="439" spans="4:10" ht="15.75" customHeight="1" x14ac:dyDescent="0.3">
      <c r="D439" s="3"/>
      <c r="E439" s="3"/>
      <c r="F439" s="3"/>
      <c r="G439" s="3"/>
      <c r="H439" s="3"/>
      <c r="I439" s="3"/>
      <c r="J439" s="92"/>
    </row>
    <row r="440" spans="4:10" ht="15.75" customHeight="1" x14ac:dyDescent="0.3">
      <c r="D440" s="3"/>
      <c r="E440" s="3"/>
      <c r="F440" s="3"/>
      <c r="G440" s="3"/>
      <c r="H440" s="3"/>
      <c r="I440" s="3"/>
      <c r="J440" s="92"/>
    </row>
    <row r="441" spans="4:10" ht="15.75" customHeight="1" x14ac:dyDescent="0.3">
      <c r="D441" s="3"/>
      <c r="E441" s="3"/>
      <c r="F441" s="3"/>
      <c r="G441" s="3"/>
      <c r="H441" s="3"/>
      <c r="I441" s="3"/>
      <c r="J441" s="92"/>
    </row>
    <row r="442" spans="4:10" ht="15.75" customHeight="1" x14ac:dyDescent="0.3">
      <c r="D442" s="3"/>
      <c r="E442" s="3"/>
      <c r="F442" s="3"/>
      <c r="G442" s="3"/>
      <c r="H442" s="3"/>
      <c r="I442" s="3"/>
      <c r="J442" s="92"/>
    </row>
    <row r="443" spans="4:10" ht="15.75" customHeight="1" x14ac:dyDescent="0.3">
      <c r="D443" s="3"/>
      <c r="E443" s="3"/>
      <c r="F443" s="3"/>
      <c r="G443" s="3"/>
      <c r="H443" s="3"/>
      <c r="I443" s="3"/>
      <c r="J443" s="92"/>
    </row>
    <row r="444" spans="4:10" ht="15.75" customHeight="1" x14ac:dyDescent="0.3">
      <c r="D444" s="3"/>
      <c r="E444" s="3"/>
      <c r="F444" s="3"/>
      <c r="G444" s="3"/>
      <c r="H444" s="3"/>
      <c r="I444" s="3"/>
      <c r="J444" s="92"/>
    </row>
    <row r="445" spans="4:10" ht="15.75" customHeight="1" x14ac:dyDescent="0.3">
      <c r="D445" s="3"/>
      <c r="E445" s="3"/>
      <c r="F445" s="3"/>
      <c r="G445" s="3"/>
      <c r="H445" s="3"/>
      <c r="I445" s="3"/>
      <c r="J445" s="92"/>
    </row>
    <row r="446" spans="4:10" ht="15.75" customHeight="1" x14ac:dyDescent="0.3">
      <c r="D446" s="3"/>
      <c r="E446" s="3"/>
      <c r="F446" s="3"/>
      <c r="G446" s="3"/>
      <c r="H446" s="3"/>
      <c r="I446" s="3"/>
      <c r="J446" s="92"/>
    </row>
    <row r="447" spans="4:10" ht="15.75" customHeight="1" x14ac:dyDescent="0.3">
      <c r="D447" s="3"/>
      <c r="E447" s="3"/>
      <c r="F447" s="3"/>
      <c r="G447" s="3"/>
      <c r="H447" s="3"/>
      <c r="I447" s="3"/>
      <c r="J447" s="92"/>
    </row>
    <row r="448" spans="4:10" ht="15.75" customHeight="1" x14ac:dyDescent="0.3">
      <c r="D448" s="3"/>
      <c r="E448" s="3"/>
      <c r="F448" s="3"/>
      <c r="G448" s="3"/>
      <c r="H448" s="3"/>
      <c r="I448" s="3"/>
      <c r="J448" s="92"/>
    </row>
    <row r="449" spans="4:10" ht="15.75" customHeight="1" x14ac:dyDescent="0.3">
      <c r="D449" s="3"/>
      <c r="E449" s="3"/>
      <c r="F449" s="3"/>
      <c r="G449" s="3"/>
      <c r="H449" s="3"/>
      <c r="I449" s="3"/>
      <c r="J449" s="92"/>
    </row>
    <row r="450" spans="4:10" ht="15.75" customHeight="1" x14ac:dyDescent="0.3">
      <c r="D450" s="3"/>
      <c r="E450" s="3"/>
      <c r="F450" s="3"/>
      <c r="G450" s="3"/>
      <c r="H450" s="3"/>
      <c r="I450" s="3"/>
      <c r="J450" s="92"/>
    </row>
    <row r="451" spans="4:10" ht="15.75" customHeight="1" x14ac:dyDescent="0.3">
      <c r="D451" s="3"/>
      <c r="E451" s="3"/>
      <c r="F451" s="3"/>
      <c r="G451" s="3"/>
      <c r="H451" s="3"/>
      <c r="I451" s="3"/>
      <c r="J451" s="92"/>
    </row>
    <row r="452" spans="4:10" ht="15.75" customHeight="1" x14ac:dyDescent="0.3">
      <c r="D452" s="3"/>
      <c r="E452" s="3"/>
      <c r="F452" s="3"/>
      <c r="G452" s="3"/>
      <c r="H452" s="3"/>
      <c r="I452" s="3"/>
      <c r="J452" s="92"/>
    </row>
    <row r="453" spans="4:10" ht="15.75" customHeight="1" x14ac:dyDescent="0.3">
      <c r="D453" s="3"/>
      <c r="E453" s="3"/>
      <c r="F453" s="3"/>
      <c r="G453" s="3"/>
      <c r="H453" s="3"/>
      <c r="I453" s="3"/>
      <c r="J453" s="92"/>
    </row>
    <row r="454" spans="4:10" ht="15.75" customHeight="1" x14ac:dyDescent="0.3">
      <c r="D454" s="3"/>
      <c r="E454" s="3"/>
      <c r="F454" s="3"/>
      <c r="G454" s="3"/>
      <c r="H454" s="3"/>
      <c r="I454" s="3"/>
      <c r="J454" s="92"/>
    </row>
    <row r="455" spans="4:10" ht="15.75" customHeight="1" x14ac:dyDescent="0.3">
      <c r="D455" s="3"/>
      <c r="E455" s="3"/>
      <c r="F455" s="3"/>
      <c r="G455" s="3"/>
      <c r="H455" s="3"/>
      <c r="I455" s="3"/>
      <c r="J455" s="92"/>
    </row>
    <row r="456" spans="4:10" ht="15.75" customHeight="1" x14ac:dyDescent="0.3">
      <c r="D456" s="3"/>
      <c r="E456" s="3"/>
      <c r="F456" s="3"/>
      <c r="G456" s="3"/>
      <c r="H456" s="3"/>
      <c r="I456" s="3"/>
      <c r="J456" s="92"/>
    </row>
    <row r="457" spans="4:10" ht="15.75" customHeight="1" x14ac:dyDescent="0.3">
      <c r="D457" s="3"/>
      <c r="E457" s="3"/>
      <c r="F457" s="3"/>
      <c r="G457" s="3"/>
      <c r="H457" s="3"/>
      <c r="I457" s="3"/>
      <c r="J457" s="92"/>
    </row>
    <row r="458" spans="4:10" ht="15.75" customHeight="1" x14ac:dyDescent="0.3">
      <c r="D458" s="3"/>
      <c r="E458" s="3"/>
      <c r="F458" s="3"/>
      <c r="G458" s="3"/>
      <c r="H458" s="3"/>
      <c r="I458" s="3"/>
      <c r="J458" s="92"/>
    </row>
    <row r="459" spans="4:10" ht="15.75" customHeight="1" x14ac:dyDescent="0.3">
      <c r="D459" s="3"/>
      <c r="E459" s="3"/>
      <c r="F459" s="3"/>
      <c r="G459" s="3"/>
      <c r="H459" s="3"/>
      <c r="I459" s="3"/>
      <c r="J459" s="92"/>
    </row>
    <row r="460" spans="4:10" ht="15.75" customHeight="1" x14ac:dyDescent="0.3">
      <c r="D460" s="3"/>
      <c r="E460" s="3"/>
      <c r="F460" s="3"/>
      <c r="G460" s="3"/>
      <c r="H460" s="3"/>
      <c r="I460" s="3"/>
      <c r="J460" s="92"/>
    </row>
    <row r="461" spans="4:10" ht="15.75" customHeight="1" x14ac:dyDescent="0.3">
      <c r="D461" s="3"/>
      <c r="E461" s="3"/>
      <c r="F461" s="3"/>
      <c r="G461" s="3"/>
      <c r="H461" s="3"/>
      <c r="I461" s="3"/>
      <c r="J461" s="92"/>
    </row>
    <row r="462" spans="4:10" ht="15.75" customHeight="1" x14ac:dyDescent="0.3">
      <c r="D462" s="3"/>
      <c r="E462" s="3"/>
      <c r="F462" s="3"/>
      <c r="G462" s="3"/>
      <c r="H462" s="3"/>
      <c r="I462" s="3"/>
      <c r="J462" s="92"/>
    </row>
    <row r="463" spans="4:10" ht="15.75" customHeight="1" x14ac:dyDescent="0.3">
      <c r="D463" s="3"/>
      <c r="E463" s="3"/>
      <c r="F463" s="3"/>
      <c r="G463" s="3"/>
      <c r="H463" s="3"/>
      <c r="I463" s="3"/>
      <c r="J463" s="92"/>
    </row>
    <row r="464" spans="4:10" ht="15.75" customHeight="1" x14ac:dyDescent="0.3">
      <c r="D464" s="3"/>
      <c r="E464" s="3"/>
      <c r="F464" s="3"/>
      <c r="G464" s="3"/>
      <c r="H464" s="3"/>
      <c r="I464" s="3"/>
      <c r="J464" s="92"/>
    </row>
    <row r="465" spans="4:10" ht="15.75" customHeight="1" x14ac:dyDescent="0.3">
      <c r="D465" s="3"/>
      <c r="E465" s="3"/>
      <c r="F465" s="3"/>
      <c r="G465" s="3"/>
      <c r="H465" s="3"/>
      <c r="I465" s="3"/>
      <c r="J465" s="92"/>
    </row>
    <row r="466" spans="4:10" ht="15.75" customHeight="1" x14ac:dyDescent="0.3">
      <c r="D466" s="3"/>
      <c r="E466" s="3"/>
      <c r="F466" s="3"/>
      <c r="G466" s="3"/>
      <c r="H466" s="3"/>
      <c r="I466" s="3"/>
      <c r="J466" s="92"/>
    </row>
    <row r="467" spans="4:10" ht="15.75" customHeight="1" x14ac:dyDescent="0.3">
      <c r="D467" s="3"/>
      <c r="E467" s="3"/>
      <c r="F467" s="3"/>
      <c r="G467" s="3"/>
      <c r="H467" s="3"/>
      <c r="I467" s="3"/>
      <c r="J467" s="92"/>
    </row>
    <row r="468" spans="4:10" ht="15.75" customHeight="1" x14ac:dyDescent="0.3">
      <c r="D468" s="3"/>
      <c r="E468" s="3"/>
      <c r="F468" s="3"/>
      <c r="G468" s="3"/>
      <c r="H468" s="3"/>
      <c r="I468" s="3"/>
      <c r="J468" s="92"/>
    </row>
    <row r="469" spans="4:10" ht="15.75" customHeight="1" x14ac:dyDescent="0.3">
      <c r="D469" s="3"/>
      <c r="E469" s="3"/>
      <c r="F469" s="3"/>
      <c r="G469" s="3"/>
      <c r="H469" s="3"/>
      <c r="I469" s="3"/>
      <c r="J469" s="92"/>
    </row>
    <row r="470" spans="4:10" ht="15.75" customHeight="1" x14ac:dyDescent="0.3">
      <c r="D470" s="3"/>
      <c r="E470" s="3"/>
      <c r="F470" s="3"/>
      <c r="G470" s="3"/>
      <c r="H470" s="3"/>
      <c r="I470" s="3"/>
      <c r="J470" s="92"/>
    </row>
    <row r="471" spans="4:10" ht="15.75" customHeight="1" x14ac:dyDescent="0.3">
      <c r="D471" s="3"/>
      <c r="E471" s="3"/>
      <c r="F471" s="3"/>
      <c r="G471" s="3"/>
      <c r="H471" s="3"/>
      <c r="I471" s="3"/>
      <c r="J471" s="92"/>
    </row>
    <row r="472" spans="4:10" ht="15.75" customHeight="1" x14ac:dyDescent="0.3">
      <c r="D472" s="3"/>
      <c r="E472" s="3"/>
      <c r="F472" s="3"/>
      <c r="G472" s="3"/>
      <c r="H472" s="3"/>
      <c r="I472" s="3"/>
      <c r="J472" s="92"/>
    </row>
    <row r="473" spans="4:10" ht="15.75" customHeight="1" x14ac:dyDescent="0.3">
      <c r="D473" s="3"/>
      <c r="E473" s="3"/>
      <c r="F473" s="3"/>
      <c r="G473" s="3"/>
      <c r="H473" s="3"/>
      <c r="I473" s="3"/>
      <c r="J473" s="92"/>
    </row>
    <row r="474" spans="4:10" ht="15.75" customHeight="1" x14ac:dyDescent="0.3">
      <c r="D474" s="3"/>
      <c r="E474" s="3"/>
      <c r="F474" s="3"/>
      <c r="G474" s="3"/>
      <c r="H474" s="3"/>
      <c r="I474" s="3"/>
      <c r="J474" s="92"/>
    </row>
    <row r="475" spans="4:10" ht="15.75" customHeight="1" x14ac:dyDescent="0.3">
      <c r="D475" s="3"/>
      <c r="E475" s="3"/>
      <c r="F475" s="3"/>
      <c r="G475" s="3"/>
      <c r="H475" s="3"/>
      <c r="I475" s="3"/>
      <c r="J475" s="92"/>
    </row>
    <row r="476" spans="4:10" ht="15.75" customHeight="1" x14ac:dyDescent="0.3">
      <c r="D476" s="3"/>
      <c r="E476" s="3"/>
      <c r="F476" s="3"/>
      <c r="G476" s="3"/>
      <c r="H476" s="3"/>
      <c r="I476" s="3"/>
      <c r="J476" s="92"/>
    </row>
    <row r="477" spans="4:10" ht="15.75" customHeight="1" x14ac:dyDescent="0.3">
      <c r="D477" s="3"/>
      <c r="E477" s="3"/>
      <c r="F477" s="3"/>
      <c r="G477" s="3"/>
      <c r="H477" s="3"/>
      <c r="I477" s="3"/>
      <c r="J477" s="92"/>
    </row>
    <row r="478" spans="4:10" ht="15.75" customHeight="1" x14ac:dyDescent="0.3">
      <c r="D478" s="3"/>
      <c r="E478" s="3"/>
      <c r="F478" s="3"/>
      <c r="G478" s="3"/>
      <c r="H478" s="3"/>
      <c r="I478" s="3"/>
      <c r="J478" s="92"/>
    </row>
    <row r="479" spans="4:10" ht="15.75" customHeight="1" x14ac:dyDescent="0.3">
      <c r="D479" s="3"/>
      <c r="E479" s="3"/>
      <c r="F479" s="3"/>
      <c r="G479" s="3"/>
      <c r="H479" s="3"/>
      <c r="I479" s="3"/>
      <c r="J479" s="92"/>
    </row>
    <row r="480" spans="4:10" ht="15.75" customHeight="1" x14ac:dyDescent="0.3">
      <c r="D480" s="3"/>
      <c r="E480" s="3"/>
      <c r="F480" s="3"/>
      <c r="G480" s="3"/>
      <c r="H480" s="3"/>
      <c r="I480" s="3"/>
      <c r="J480" s="92"/>
    </row>
    <row r="481" spans="4:10" ht="15.75" customHeight="1" x14ac:dyDescent="0.3">
      <c r="D481" s="3"/>
      <c r="E481" s="3"/>
      <c r="F481" s="3"/>
      <c r="G481" s="3"/>
      <c r="H481" s="3"/>
      <c r="I481" s="3"/>
      <c r="J481" s="92"/>
    </row>
    <row r="482" spans="4:10" ht="15.75" customHeight="1" x14ac:dyDescent="0.3">
      <c r="D482" s="3"/>
      <c r="E482" s="3"/>
      <c r="F482" s="3"/>
      <c r="G482" s="3"/>
      <c r="H482" s="3"/>
      <c r="I482" s="3"/>
      <c r="J482" s="92"/>
    </row>
    <row r="483" spans="4:10" ht="15.75" customHeight="1" x14ac:dyDescent="0.3">
      <c r="D483" s="3"/>
      <c r="E483" s="3"/>
      <c r="F483" s="3"/>
      <c r="G483" s="3"/>
      <c r="H483" s="3"/>
      <c r="I483" s="3"/>
      <c r="J483" s="92"/>
    </row>
    <row r="484" spans="4:10" ht="15.75" customHeight="1" x14ac:dyDescent="0.3">
      <c r="D484" s="3"/>
      <c r="E484" s="3"/>
      <c r="F484" s="3"/>
      <c r="G484" s="3"/>
      <c r="H484" s="3"/>
      <c r="I484" s="3"/>
      <c r="J484" s="92"/>
    </row>
    <row r="485" spans="4:10" ht="15.75" customHeight="1" x14ac:dyDescent="0.3">
      <c r="D485" s="3"/>
      <c r="E485" s="3"/>
      <c r="F485" s="3"/>
      <c r="G485" s="3"/>
      <c r="H485" s="3"/>
      <c r="I485" s="3"/>
      <c r="J485" s="92"/>
    </row>
    <row r="486" spans="4:10" ht="15.75" customHeight="1" x14ac:dyDescent="0.3">
      <c r="D486" s="3"/>
      <c r="E486" s="3"/>
      <c r="F486" s="3"/>
      <c r="G486" s="3"/>
      <c r="H486" s="3"/>
      <c r="I486" s="3"/>
      <c r="J486" s="92"/>
    </row>
    <row r="487" spans="4:10" ht="15.75" customHeight="1" x14ac:dyDescent="0.3">
      <c r="D487" s="3"/>
      <c r="E487" s="3"/>
      <c r="F487" s="3"/>
      <c r="G487" s="3"/>
      <c r="H487" s="3"/>
      <c r="I487" s="3"/>
      <c r="J487" s="92"/>
    </row>
    <row r="488" spans="4:10" ht="15.75" customHeight="1" x14ac:dyDescent="0.3">
      <c r="D488" s="3"/>
      <c r="E488" s="3"/>
      <c r="F488" s="3"/>
      <c r="G488" s="3"/>
      <c r="H488" s="3"/>
      <c r="I488" s="3"/>
      <c r="J488" s="92"/>
    </row>
    <row r="489" spans="4:10" ht="15.75" customHeight="1" x14ac:dyDescent="0.3">
      <c r="D489" s="3"/>
      <c r="E489" s="3"/>
      <c r="F489" s="3"/>
      <c r="G489" s="3"/>
      <c r="H489" s="3"/>
      <c r="I489" s="3"/>
      <c r="J489" s="92"/>
    </row>
    <row r="490" spans="4:10" ht="15.75" customHeight="1" x14ac:dyDescent="0.3">
      <c r="D490" s="3"/>
      <c r="E490" s="3"/>
      <c r="F490" s="3"/>
      <c r="G490" s="3"/>
      <c r="H490" s="3"/>
      <c r="I490" s="3"/>
      <c r="J490" s="92"/>
    </row>
    <row r="491" spans="4:10" ht="15.75" customHeight="1" x14ac:dyDescent="0.3">
      <c r="D491" s="3"/>
      <c r="E491" s="3"/>
      <c r="F491" s="3"/>
      <c r="G491" s="3"/>
      <c r="H491" s="3"/>
      <c r="I491" s="3"/>
      <c r="J491" s="92"/>
    </row>
    <row r="492" spans="4:10" ht="15.75" customHeight="1" x14ac:dyDescent="0.3">
      <c r="D492" s="3"/>
      <c r="E492" s="3"/>
      <c r="F492" s="3"/>
      <c r="G492" s="3"/>
      <c r="H492" s="3"/>
      <c r="I492" s="3"/>
      <c r="J492" s="92"/>
    </row>
    <row r="493" spans="4:10" ht="15.75" customHeight="1" x14ac:dyDescent="0.3">
      <c r="D493" s="3"/>
      <c r="E493" s="3"/>
      <c r="F493" s="3"/>
      <c r="G493" s="3"/>
      <c r="H493" s="3"/>
      <c r="I493" s="3"/>
      <c r="J493" s="92"/>
    </row>
    <row r="494" spans="4:10" ht="15.75" customHeight="1" x14ac:dyDescent="0.3">
      <c r="D494" s="3"/>
      <c r="E494" s="3"/>
      <c r="F494" s="3"/>
      <c r="G494" s="3"/>
      <c r="H494" s="3"/>
      <c r="I494" s="3"/>
      <c r="J494" s="92"/>
    </row>
    <row r="495" spans="4:10" ht="15.75" customHeight="1" x14ac:dyDescent="0.3">
      <c r="D495" s="3"/>
      <c r="E495" s="3"/>
      <c r="F495" s="3"/>
      <c r="G495" s="3"/>
      <c r="H495" s="3"/>
      <c r="I495" s="3"/>
      <c r="J495" s="92"/>
    </row>
    <row r="496" spans="4:10" ht="15.75" customHeight="1" x14ac:dyDescent="0.3">
      <c r="D496" s="3"/>
      <c r="E496" s="3"/>
      <c r="F496" s="3"/>
      <c r="G496" s="3"/>
      <c r="H496" s="3"/>
      <c r="I496" s="3"/>
      <c r="J496" s="92"/>
    </row>
    <row r="497" spans="4:10" ht="15.75" customHeight="1" x14ac:dyDescent="0.3">
      <c r="D497" s="3"/>
      <c r="E497" s="3"/>
      <c r="F497" s="3"/>
      <c r="G497" s="3"/>
      <c r="H497" s="3"/>
      <c r="I497" s="3"/>
      <c r="J497" s="92"/>
    </row>
    <row r="498" spans="4:10" ht="15.75" customHeight="1" x14ac:dyDescent="0.3">
      <c r="D498" s="3"/>
      <c r="E498" s="3"/>
      <c r="F498" s="3"/>
      <c r="G498" s="3"/>
      <c r="H498" s="3"/>
      <c r="I498" s="3"/>
      <c r="J498" s="92"/>
    </row>
    <row r="499" spans="4:10" ht="15.75" customHeight="1" x14ac:dyDescent="0.3">
      <c r="D499" s="3"/>
      <c r="E499" s="3"/>
      <c r="F499" s="3"/>
      <c r="G499" s="3"/>
      <c r="H499" s="3"/>
      <c r="I499" s="3"/>
      <c r="J499" s="92"/>
    </row>
    <row r="500" spans="4:10" ht="15.75" customHeight="1" x14ac:dyDescent="0.3">
      <c r="D500" s="3"/>
      <c r="E500" s="3"/>
      <c r="F500" s="3"/>
      <c r="G500" s="3"/>
      <c r="H500" s="3"/>
      <c r="I500" s="3"/>
      <c r="J500" s="92"/>
    </row>
    <row r="501" spans="4:10" ht="15.75" customHeight="1" x14ac:dyDescent="0.3">
      <c r="D501" s="3"/>
      <c r="E501" s="3"/>
      <c r="F501" s="3"/>
      <c r="G501" s="3"/>
      <c r="H501" s="3"/>
      <c r="I501" s="3"/>
      <c r="J501" s="92"/>
    </row>
    <row r="502" spans="4:10" ht="15.75" customHeight="1" x14ac:dyDescent="0.3">
      <c r="D502" s="3"/>
      <c r="E502" s="3"/>
      <c r="F502" s="3"/>
      <c r="G502" s="3"/>
      <c r="H502" s="3"/>
      <c r="I502" s="3"/>
      <c r="J502" s="92"/>
    </row>
    <row r="503" spans="4:10" ht="15.75" customHeight="1" x14ac:dyDescent="0.3">
      <c r="D503" s="3"/>
      <c r="E503" s="3"/>
      <c r="F503" s="3"/>
      <c r="G503" s="3"/>
      <c r="H503" s="3"/>
      <c r="I503" s="3"/>
      <c r="J503" s="92"/>
    </row>
    <row r="504" spans="4:10" ht="15.75" customHeight="1" x14ac:dyDescent="0.3">
      <c r="D504" s="3"/>
      <c r="E504" s="3"/>
      <c r="F504" s="3"/>
      <c r="G504" s="3"/>
      <c r="H504" s="3"/>
      <c r="I504" s="3"/>
      <c r="J504" s="92"/>
    </row>
    <row r="505" spans="4:10" ht="15.75" customHeight="1" x14ac:dyDescent="0.3">
      <c r="D505" s="3"/>
      <c r="E505" s="3"/>
      <c r="F505" s="3"/>
      <c r="G505" s="3"/>
      <c r="H505" s="3"/>
      <c r="I505" s="3"/>
      <c r="J505" s="92"/>
    </row>
    <row r="506" spans="4:10" ht="15.75" customHeight="1" x14ac:dyDescent="0.3">
      <c r="D506" s="3"/>
      <c r="E506" s="3"/>
      <c r="F506" s="3"/>
      <c r="G506" s="3"/>
      <c r="H506" s="3"/>
      <c r="I506" s="3"/>
      <c r="J506" s="92"/>
    </row>
    <row r="507" spans="4:10" ht="15.75" customHeight="1" x14ac:dyDescent="0.3">
      <c r="D507" s="3"/>
      <c r="E507" s="3"/>
      <c r="F507" s="3"/>
      <c r="G507" s="3"/>
      <c r="H507" s="3"/>
      <c r="I507" s="3"/>
      <c r="J507" s="92"/>
    </row>
    <row r="508" spans="4:10" ht="15.75" customHeight="1" x14ac:dyDescent="0.3">
      <c r="D508" s="3"/>
      <c r="E508" s="3"/>
      <c r="F508" s="3"/>
      <c r="G508" s="3"/>
      <c r="H508" s="3"/>
      <c r="I508" s="3"/>
      <c r="J508" s="92"/>
    </row>
    <row r="509" spans="4:10" ht="15.75" customHeight="1" x14ac:dyDescent="0.3">
      <c r="D509" s="3"/>
      <c r="E509" s="3"/>
      <c r="F509" s="3"/>
      <c r="G509" s="3"/>
      <c r="H509" s="3"/>
      <c r="I509" s="3"/>
      <c r="J509" s="92"/>
    </row>
    <row r="510" spans="4:10" ht="15.75" customHeight="1" x14ac:dyDescent="0.3">
      <c r="D510" s="3"/>
      <c r="E510" s="3"/>
      <c r="F510" s="3"/>
      <c r="G510" s="3"/>
      <c r="H510" s="3"/>
      <c r="I510" s="3"/>
      <c r="J510" s="92"/>
    </row>
    <row r="511" spans="4:10" ht="15.75" customHeight="1" x14ac:dyDescent="0.3">
      <c r="D511" s="3"/>
      <c r="E511" s="3"/>
      <c r="F511" s="3"/>
      <c r="G511" s="3"/>
      <c r="H511" s="3"/>
      <c r="I511" s="3"/>
      <c r="J511" s="92"/>
    </row>
    <row r="512" spans="4:10" ht="15.75" customHeight="1" x14ac:dyDescent="0.3">
      <c r="D512" s="3"/>
      <c r="E512" s="3"/>
      <c r="F512" s="3"/>
      <c r="G512" s="3"/>
      <c r="H512" s="3"/>
      <c r="I512" s="3"/>
      <c r="J512" s="92"/>
    </row>
    <row r="513" spans="4:10" ht="15.75" customHeight="1" x14ac:dyDescent="0.3">
      <c r="D513" s="3"/>
      <c r="E513" s="3"/>
      <c r="F513" s="3"/>
      <c r="G513" s="3"/>
      <c r="H513" s="3"/>
      <c r="I513" s="3"/>
      <c r="J513" s="92"/>
    </row>
    <row r="514" spans="4:10" ht="15.75" customHeight="1" x14ac:dyDescent="0.3">
      <c r="D514" s="3"/>
      <c r="E514" s="3"/>
      <c r="F514" s="3"/>
      <c r="G514" s="3"/>
      <c r="H514" s="3"/>
      <c r="I514" s="3"/>
      <c r="J514" s="92"/>
    </row>
    <row r="515" spans="4:10" ht="15.75" customHeight="1" x14ac:dyDescent="0.3">
      <c r="D515" s="3"/>
      <c r="E515" s="3"/>
      <c r="F515" s="3"/>
      <c r="G515" s="3"/>
      <c r="H515" s="3"/>
      <c r="I515" s="3"/>
      <c r="J515" s="92"/>
    </row>
    <row r="516" spans="4:10" ht="15.75" customHeight="1" x14ac:dyDescent="0.3">
      <c r="D516" s="3"/>
      <c r="E516" s="3"/>
      <c r="F516" s="3"/>
      <c r="G516" s="3"/>
      <c r="H516" s="3"/>
      <c r="I516" s="3"/>
      <c r="J516" s="92"/>
    </row>
    <row r="517" spans="4:10" ht="15.75" customHeight="1" x14ac:dyDescent="0.3">
      <c r="D517" s="3"/>
      <c r="E517" s="3"/>
      <c r="F517" s="3"/>
      <c r="G517" s="3"/>
      <c r="H517" s="3"/>
      <c r="I517" s="3"/>
      <c r="J517" s="92"/>
    </row>
    <row r="518" spans="4:10" ht="15.75" customHeight="1" x14ac:dyDescent="0.3">
      <c r="D518" s="3"/>
      <c r="E518" s="3"/>
      <c r="F518" s="3"/>
      <c r="G518" s="3"/>
      <c r="H518" s="3"/>
      <c r="I518" s="3"/>
      <c r="J518" s="92"/>
    </row>
    <row r="519" spans="4:10" ht="15.75" customHeight="1" x14ac:dyDescent="0.3">
      <c r="D519" s="3"/>
      <c r="E519" s="3"/>
      <c r="F519" s="3"/>
      <c r="G519" s="3"/>
      <c r="H519" s="3"/>
      <c r="I519" s="3"/>
      <c r="J519" s="92"/>
    </row>
    <row r="520" spans="4:10" ht="15.75" customHeight="1" x14ac:dyDescent="0.3">
      <c r="D520" s="3"/>
      <c r="E520" s="3"/>
      <c r="F520" s="3"/>
      <c r="G520" s="3"/>
      <c r="H520" s="3"/>
      <c r="I520" s="3"/>
      <c r="J520" s="92"/>
    </row>
    <row r="521" spans="4:10" ht="15.75" customHeight="1" x14ac:dyDescent="0.3">
      <c r="D521" s="3"/>
      <c r="E521" s="3"/>
      <c r="F521" s="3"/>
      <c r="G521" s="3"/>
      <c r="H521" s="3"/>
      <c r="I521" s="3"/>
      <c r="J521" s="92"/>
    </row>
    <row r="522" spans="4:10" ht="15.75" customHeight="1" x14ac:dyDescent="0.3">
      <c r="D522" s="3"/>
      <c r="E522" s="3"/>
      <c r="F522" s="3"/>
      <c r="G522" s="3"/>
      <c r="H522" s="3"/>
      <c r="I522" s="3"/>
      <c r="J522" s="92"/>
    </row>
    <row r="523" spans="4:10" ht="15.75" customHeight="1" x14ac:dyDescent="0.3">
      <c r="D523" s="3"/>
      <c r="E523" s="3"/>
      <c r="F523" s="3"/>
      <c r="G523" s="3"/>
      <c r="H523" s="3"/>
      <c r="I523" s="3"/>
      <c r="J523" s="92"/>
    </row>
    <row r="524" spans="4:10" ht="15.75" customHeight="1" x14ac:dyDescent="0.3">
      <c r="D524" s="3"/>
      <c r="E524" s="3"/>
      <c r="F524" s="3"/>
      <c r="G524" s="3"/>
      <c r="H524" s="3"/>
      <c r="I524" s="3"/>
      <c r="J524" s="92"/>
    </row>
    <row r="525" spans="4:10" ht="15.75" customHeight="1" x14ac:dyDescent="0.3">
      <c r="D525" s="3"/>
      <c r="E525" s="3"/>
      <c r="F525" s="3"/>
      <c r="G525" s="3"/>
      <c r="H525" s="3"/>
      <c r="I525" s="3"/>
      <c r="J525" s="92"/>
    </row>
    <row r="526" spans="4:10" ht="15.75" customHeight="1" x14ac:dyDescent="0.3">
      <c r="D526" s="3"/>
      <c r="E526" s="3"/>
      <c r="F526" s="3"/>
      <c r="G526" s="3"/>
      <c r="H526" s="3"/>
      <c r="I526" s="3"/>
      <c r="J526" s="92"/>
    </row>
    <row r="527" spans="4:10" ht="15.75" customHeight="1" x14ac:dyDescent="0.3">
      <c r="D527" s="3"/>
      <c r="E527" s="3"/>
      <c r="F527" s="3"/>
      <c r="G527" s="3"/>
      <c r="H527" s="3"/>
      <c r="I527" s="3"/>
      <c r="J527" s="92"/>
    </row>
    <row r="528" spans="4:10" ht="15.75" customHeight="1" x14ac:dyDescent="0.3">
      <c r="D528" s="3"/>
      <c r="E528" s="3"/>
      <c r="F528" s="3"/>
      <c r="G528" s="3"/>
      <c r="H528" s="3"/>
      <c r="I528" s="3"/>
      <c r="J528" s="92"/>
    </row>
    <row r="529" spans="4:10" ht="15.75" customHeight="1" x14ac:dyDescent="0.3">
      <c r="D529" s="3"/>
      <c r="E529" s="3"/>
      <c r="F529" s="3"/>
      <c r="G529" s="3"/>
      <c r="H529" s="3"/>
      <c r="I529" s="3"/>
      <c r="J529" s="92"/>
    </row>
    <row r="530" spans="4:10" ht="15.75" customHeight="1" x14ac:dyDescent="0.3">
      <c r="D530" s="3"/>
      <c r="E530" s="3"/>
      <c r="F530" s="3"/>
      <c r="G530" s="3"/>
      <c r="H530" s="3"/>
      <c r="I530" s="3"/>
      <c r="J530" s="92"/>
    </row>
    <row r="531" spans="4:10" ht="15.75" customHeight="1" x14ac:dyDescent="0.3">
      <c r="D531" s="3"/>
      <c r="E531" s="3"/>
      <c r="F531" s="3"/>
      <c r="G531" s="3"/>
      <c r="H531" s="3"/>
      <c r="I531" s="3"/>
      <c r="J531" s="92"/>
    </row>
    <row r="532" spans="4:10" ht="15.75" customHeight="1" x14ac:dyDescent="0.3">
      <c r="D532" s="3"/>
      <c r="E532" s="3"/>
      <c r="F532" s="3"/>
      <c r="G532" s="3"/>
      <c r="H532" s="3"/>
      <c r="I532" s="3"/>
      <c r="J532" s="92"/>
    </row>
    <row r="533" spans="4:10" ht="15.75" customHeight="1" x14ac:dyDescent="0.3">
      <c r="D533" s="3"/>
      <c r="E533" s="3"/>
      <c r="F533" s="3"/>
      <c r="G533" s="3"/>
      <c r="H533" s="3"/>
      <c r="I533" s="3"/>
      <c r="J533" s="92"/>
    </row>
    <row r="534" spans="4:10" ht="15.75" customHeight="1" x14ac:dyDescent="0.3">
      <c r="D534" s="3"/>
      <c r="E534" s="3"/>
      <c r="F534" s="3"/>
      <c r="G534" s="3"/>
      <c r="H534" s="3"/>
      <c r="I534" s="3"/>
      <c r="J534" s="92"/>
    </row>
    <row r="535" spans="4:10" ht="15.75" customHeight="1" x14ac:dyDescent="0.3">
      <c r="D535" s="3"/>
      <c r="E535" s="3"/>
      <c r="F535" s="3"/>
      <c r="G535" s="3"/>
      <c r="H535" s="3"/>
      <c r="I535" s="3"/>
      <c r="J535" s="92"/>
    </row>
    <row r="536" spans="4:10" ht="15.75" customHeight="1" x14ac:dyDescent="0.3">
      <c r="D536" s="3"/>
      <c r="E536" s="3"/>
      <c r="F536" s="3"/>
      <c r="G536" s="3"/>
      <c r="H536" s="3"/>
      <c r="I536" s="3"/>
      <c r="J536" s="92"/>
    </row>
    <row r="537" spans="4:10" ht="15.75" customHeight="1" x14ac:dyDescent="0.3">
      <c r="D537" s="3"/>
      <c r="E537" s="3"/>
      <c r="F537" s="3"/>
      <c r="G537" s="3"/>
      <c r="H537" s="3"/>
      <c r="I537" s="3"/>
      <c r="J537" s="92"/>
    </row>
    <row r="538" spans="4:10" ht="15.75" customHeight="1" x14ac:dyDescent="0.3">
      <c r="D538" s="3"/>
      <c r="E538" s="3"/>
      <c r="F538" s="3"/>
      <c r="G538" s="3"/>
      <c r="H538" s="3"/>
      <c r="I538" s="3"/>
      <c r="J538" s="92"/>
    </row>
    <row r="539" spans="4:10" ht="15.75" customHeight="1" x14ac:dyDescent="0.3">
      <c r="D539" s="3"/>
      <c r="E539" s="3"/>
      <c r="F539" s="3"/>
      <c r="G539" s="3"/>
      <c r="H539" s="3"/>
      <c r="I539" s="3"/>
      <c r="J539" s="92"/>
    </row>
    <row r="540" spans="4:10" ht="15.75" customHeight="1" x14ac:dyDescent="0.3">
      <c r="D540" s="3"/>
      <c r="E540" s="3"/>
      <c r="F540" s="3"/>
      <c r="G540" s="3"/>
      <c r="H540" s="3"/>
      <c r="I540" s="3"/>
      <c r="J540" s="92"/>
    </row>
    <row r="541" spans="4:10" ht="15.75" customHeight="1" x14ac:dyDescent="0.3">
      <c r="D541" s="3"/>
      <c r="E541" s="3"/>
      <c r="F541" s="3"/>
      <c r="G541" s="3"/>
      <c r="H541" s="3"/>
      <c r="I541" s="3"/>
      <c r="J541" s="92"/>
    </row>
    <row r="542" spans="4:10" ht="15.75" customHeight="1" x14ac:dyDescent="0.3">
      <c r="D542" s="3"/>
      <c r="E542" s="3"/>
      <c r="F542" s="3"/>
      <c r="G542" s="3"/>
      <c r="H542" s="3"/>
      <c r="I542" s="3"/>
      <c r="J542" s="92"/>
    </row>
    <row r="543" spans="4:10" ht="15.75" customHeight="1" x14ac:dyDescent="0.3">
      <c r="D543" s="3"/>
      <c r="E543" s="3"/>
      <c r="F543" s="3"/>
      <c r="G543" s="3"/>
      <c r="H543" s="3"/>
      <c r="I543" s="3"/>
      <c r="J543" s="92"/>
    </row>
    <row r="544" spans="4:10" ht="15.75" customHeight="1" x14ac:dyDescent="0.3">
      <c r="D544" s="3"/>
      <c r="E544" s="3"/>
      <c r="F544" s="3"/>
      <c r="G544" s="3"/>
      <c r="H544" s="3"/>
      <c r="I544" s="3"/>
      <c r="J544" s="92"/>
    </row>
    <row r="545" spans="4:10" ht="15.75" customHeight="1" x14ac:dyDescent="0.3">
      <c r="D545" s="3"/>
      <c r="E545" s="3"/>
      <c r="F545" s="3"/>
      <c r="G545" s="3"/>
      <c r="H545" s="3"/>
      <c r="I545" s="3"/>
      <c r="J545" s="92"/>
    </row>
    <row r="546" spans="4:10" ht="15.75" customHeight="1" x14ac:dyDescent="0.3">
      <c r="D546" s="3"/>
      <c r="E546" s="3"/>
      <c r="F546" s="3"/>
      <c r="G546" s="3"/>
      <c r="H546" s="3"/>
      <c r="I546" s="3"/>
      <c r="J546" s="92"/>
    </row>
    <row r="547" spans="4:10" ht="15.75" customHeight="1" x14ac:dyDescent="0.3">
      <c r="D547" s="3"/>
      <c r="E547" s="3"/>
      <c r="F547" s="3"/>
      <c r="G547" s="3"/>
      <c r="H547" s="3"/>
      <c r="I547" s="3"/>
      <c r="J547" s="92"/>
    </row>
    <row r="548" spans="4:10" ht="15.75" customHeight="1" x14ac:dyDescent="0.3">
      <c r="D548" s="3"/>
      <c r="E548" s="3"/>
      <c r="F548" s="3"/>
      <c r="G548" s="3"/>
      <c r="H548" s="3"/>
      <c r="I548" s="3"/>
      <c r="J548" s="92"/>
    </row>
    <row r="549" spans="4:10" ht="15.75" customHeight="1" x14ac:dyDescent="0.3">
      <c r="D549" s="3"/>
      <c r="E549" s="3"/>
      <c r="F549" s="3"/>
      <c r="G549" s="3"/>
      <c r="H549" s="3"/>
      <c r="I549" s="3"/>
      <c r="J549" s="92"/>
    </row>
    <row r="550" spans="4:10" ht="15.75" customHeight="1" x14ac:dyDescent="0.3">
      <c r="D550" s="3"/>
      <c r="E550" s="3"/>
      <c r="F550" s="3"/>
      <c r="G550" s="3"/>
      <c r="H550" s="3"/>
      <c r="I550" s="3"/>
      <c r="J550" s="92"/>
    </row>
    <row r="551" spans="4:10" ht="15.75" customHeight="1" x14ac:dyDescent="0.3">
      <c r="D551" s="3"/>
      <c r="E551" s="3"/>
      <c r="F551" s="3"/>
      <c r="G551" s="3"/>
      <c r="H551" s="3"/>
      <c r="I551" s="3"/>
      <c r="J551" s="92"/>
    </row>
    <row r="552" spans="4:10" ht="15.75" customHeight="1" x14ac:dyDescent="0.3">
      <c r="D552" s="3"/>
      <c r="E552" s="3"/>
      <c r="F552" s="3"/>
      <c r="G552" s="3"/>
      <c r="H552" s="3"/>
      <c r="I552" s="3"/>
      <c r="J552" s="92"/>
    </row>
    <row r="553" spans="4:10" ht="15.75" customHeight="1" x14ac:dyDescent="0.3">
      <c r="D553" s="3"/>
      <c r="E553" s="3"/>
      <c r="F553" s="3"/>
      <c r="G553" s="3"/>
      <c r="H553" s="3"/>
      <c r="I553" s="3"/>
      <c r="J553" s="92"/>
    </row>
    <row r="554" spans="4:10" ht="15.75" customHeight="1" x14ac:dyDescent="0.3">
      <c r="D554" s="3"/>
      <c r="E554" s="3"/>
      <c r="F554" s="3"/>
      <c r="G554" s="3"/>
      <c r="H554" s="3"/>
      <c r="I554" s="3"/>
      <c r="J554" s="92"/>
    </row>
    <row r="555" spans="4:10" ht="15.75" customHeight="1" x14ac:dyDescent="0.3">
      <c r="D555" s="3"/>
      <c r="E555" s="3"/>
      <c r="F555" s="3"/>
      <c r="G555" s="3"/>
      <c r="H555" s="3"/>
      <c r="I555" s="3"/>
      <c r="J555" s="92"/>
    </row>
    <row r="556" spans="4:10" ht="15.75" customHeight="1" x14ac:dyDescent="0.3">
      <c r="D556" s="3"/>
      <c r="E556" s="3"/>
      <c r="F556" s="3"/>
      <c r="G556" s="3"/>
      <c r="H556" s="3"/>
      <c r="I556" s="3"/>
      <c r="J556" s="92"/>
    </row>
    <row r="557" spans="4:10" ht="15.75" customHeight="1" x14ac:dyDescent="0.3">
      <c r="D557" s="3"/>
      <c r="E557" s="3"/>
      <c r="F557" s="3"/>
      <c r="G557" s="3"/>
      <c r="H557" s="3"/>
      <c r="I557" s="3"/>
      <c r="J557" s="92"/>
    </row>
    <row r="558" spans="4:10" ht="15.75" customHeight="1" x14ac:dyDescent="0.3">
      <c r="D558" s="3"/>
      <c r="E558" s="3"/>
      <c r="F558" s="3"/>
      <c r="G558" s="3"/>
      <c r="H558" s="3"/>
      <c r="I558" s="3"/>
      <c r="J558" s="92"/>
    </row>
    <row r="559" spans="4:10" ht="15.75" customHeight="1" x14ac:dyDescent="0.3">
      <c r="D559" s="3"/>
      <c r="E559" s="3"/>
      <c r="F559" s="3"/>
      <c r="G559" s="3"/>
      <c r="H559" s="3"/>
      <c r="I559" s="3"/>
      <c r="J559" s="92"/>
    </row>
    <row r="560" spans="4:10" ht="15.75" customHeight="1" x14ac:dyDescent="0.3">
      <c r="D560" s="3"/>
      <c r="E560" s="3"/>
      <c r="F560" s="3"/>
      <c r="G560" s="3"/>
      <c r="H560" s="3"/>
      <c r="I560" s="3"/>
      <c r="J560" s="92"/>
    </row>
    <row r="561" spans="4:10" ht="15.75" customHeight="1" x14ac:dyDescent="0.3">
      <c r="D561" s="3"/>
      <c r="E561" s="3"/>
      <c r="F561" s="3"/>
      <c r="G561" s="3"/>
      <c r="H561" s="3"/>
      <c r="I561" s="3"/>
      <c r="J561" s="92"/>
    </row>
    <row r="562" spans="4:10" ht="15.75" customHeight="1" x14ac:dyDescent="0.3">
      <c r="D562" s="3"/>
      <c r="E562" s="3"/>
      <c r="F562" s="3"/>
      <c r="G562" s="3"/>
      <c r="H562" s="3"/>
      <c r="I562" s="3"/>
      <c r="J562" s="92"/>
    </row>
    <row r="563" spans="4:10" ht="15.75" customHeight="1" x14ac:dyDescent="0.3">
      <c r="D563" s="3"/>
      <c r="E563" s="3"/>
      <c r="F563" s="3"/>
      <c r="G563" s="3"/>
      <c r="H563" s="3"/>
      <c r="I563" s="3"/>
      <c r="J563" s="92"/>
    </row>
    <row r="564" spans="4:10" ht="15.75" customHeight="1" x14ac:dyDescent="0.3">
      <c r="D564" s="3"/>
      <c r="E564" s="3"/>
      <c r="F564" s="3"/>
      <c r="G564" s="3"/>
      <c r="H564" s="3"/>
      <c r="I564" s="3"/>
      <c r="J564" s="92"/>
    </row>
    <row r="565" spans="4:10" ht="15.75" customHeight="1" x14ac:dyDescent="0.3">
      <c r="D565" s="3"/>
      <c r="E565" s="3"/>
      <c r="F565" s="3"/>
      <c r="G565" s="3"/>
      <c r="H565" s="3"/>
      <c r="I565" s="3"/>
      <c r="J565" s="92"/>
    </row>
    <row r="566" spans="4:10" ht="15.75" customHeight="1" x14ac:dyDescent="0.3">
      <c r="D566" s="3"/>
      <c r="E566" s="3"/>
      <c r="F566" s="3"/>
      <c r="G566" s="3"/>
      <c r="H566" s="3"/>
      <c r="I566" s="3"/>
      <c r="J566" s="92"/>
    </row>
    <row r="567" spans="4:10" ht="15.75" customHeight="1" x14ac:dyDescent="0.3">
      <c r="D567" s="3"/>
      <c r="E567" s="3"/>
      <c r="F567" s="3"/>
      <c r="G567" s="3"/>
      <c r="H567" s="3"/>
      <c r="I567" s="3"/>
      <c r="J567" s="92"/>
    </row>
    <row r="568" spans="4:10" ht="15.75" customHeight="1" x14ac:dyDescent="0.3">
      <c r="D568" s="3"/>
      <c r="E568" s="3"/>
      <c r="F568" s="3"/>
      <c r="G568" s="3"/>
      <c r="H568" s="3"/>
      <c r="I568" s="3"/>
      <c r="J568" s="92"/>
    </row>
    <row r="569" spans="4:10" ht="15.75" customHeight="1" x14ac:dyDescent="0.3">
      <c r="D569" s="3"/>
      <c r="E569" s="3"/>
      <c r="F569" s="3"/>
      <c r="G569" s="3"/>
      <c r="H569" s="3"/>
      <c r="I569" s="3"/>
      <c r="J569" s="92"/>
    </row>
    <row r="570" spans="4:10" ht="15.75" customHeight="1" x14ac:dyDescent="0.3">
      <c r="D570" s="3"/>
      <c r="E570" s="3"/>
      <c r="F570" s="3"/>
      <c r="G570" s="3"/>
      <c r="H570" s="3"/>
      <c r="I570" s="3"/>
      <c r="J570" s="92"/>
    </row>
    <row r="571" spans="4:10" ht="15.75" customHeight="1" x14ac:dyDescent="0.3">
      <c r="D571" s="3"/>
      <c r="E571" s="3"/>
      <c r="F571" s="3"/>
      <c r="G571" s="3"/>
      <c r="H571" s="3"/>
      <c r="I571" s="3"/>
      <c r="J571" s="92"/>
    </row>
    <row r="572" spans="4:10" ht="15.75" customHeight="1" x14ac:dyDescent="0.3">
      <c r="D572" s="3"/>
      <c r="E572" s="3"/>
      <c r="F572" s="3"/>
      <c r="G572" s="3"/>
      <c r="H572" s="3"/>
      <c r="I572" s="3"/>
      <c r="J572" s="92"/>
    </row>
    <row r="573" spans="4:10" ht="15.75" customHeight="1" x14ac:dyDescent="0.3">
      <c r="D573" s="3"/>
      <c r="E573" s="3"/>
      <c r="F573" s="3"/>
      <c r="G573" s="3"/>
      <c r="H573" s="3"/>
      <c r="I573" s="3"/>
      <c r="J573" s="92"/>
    </row>
    <row r="574" spans="4:10" ht="15.75" customHeight="1" x14ac:dyDescent="0.3">
      <c r="D574" s="3"/>
      <c r="E574" s="3"/>
      <c r="F574" s="3"/>
      <c r="G574" s="3"/>
      <c r="H574" s="3"/>
      <c r="I574" s="3"/>
      <c r="J574" s="92"/>
    </row>
    <row r="575" spans="4:10" ht="15.75" customHeight="1" x14ac:dyDescent="0.3">
      <c r="D575" s="3"/>
      <c r="E575" s="3"/>
      <c r="F575" s="3"/>
      <c r="G575" s="3"/>
      <c r="H575" s="3"/>
      <c r="I575" s="3"/>
      <c r="J575" s="92"/>
    </row>
    <row r="576" spans="4:10" ht="15.75" customHeight="1" x14ac:dyDescent="0.3">
      <c r="D576" s="3"/>
      <c r="E576" s="3"/>
      <c r="F576" s="3"/>
      <c r="G576" s="3"/>
      <c r="H576" s="3"/>
      <c r="I576" s="3"/>
      <c r="J576" s="92"/>
    </row>
    <row r="577" spans="4:10" ht="15.75" customHeight="1" x14ac:dyDescent="0.3">
      <c r="D577" s="3"/>
      <c r="E577" s="3"/>
      <c r="F577" s="3"/>
      <c r="G577" s="3"/>
      <c r="H577" s="3"/>
      <c r="I577" s="3"/>
      <c r="J577" s="92"/>
    </row>
    <row r="578" spans="4:10" ht="15.75" customHeight="1" x14ac:dyDescent="0.3">
      <c r="D578" s="3"/>
      <c r="E578" s="3"/>
      <c r="F578" s="3"/>
      <c r="G578" s="3"/>
      <c r="H578" s="3"/>
      <c r="I578" s="3"/>
      <c r="J578" s="92"/>
    </row>
    <row r="579" spans="4:10" ht="15.75" customHeight="1" x14ac:dyDescent="0.3">
      <c r="D579" s="3"/>
      <c r="E579" s="3"/>
      <c r="F579" s="3"/>
      <c r="G579" s="3"/>
      <c r="H579" s="3"/>
      <c r="I579" s="3"/>
      <c r="J579" s="92"/>
    </row>
    <row r="580" spans="4:10" ht="15.75" customHeight="1" x14ac:dyDescent="0.3">
      <c r="D580" s="3"/>
      <c r="E580" s="3"/>
      <c r="F580" s="3"/>
      <c r="G580" s="3"/>
      <c r="H580" s="3"/>
      <c r="I580" s="3"/>
      <c r="J580" s="92"/>
    </row>
    <row r="581" spans="4:10" ht="15.75" customHeight="1" x14ac:dyDescent="0.3">
      <c r="D581" s="3"/>
      <c r="E581" s="3"/>
      <c r="F581" s="3"/>
      <c r="G581" s="3"/>
      <c r="H581" s="3"/>
      <c r="I581" s="3"/>
      <c r="J581" s="92"/>
    </row>
    <row r="582" spans="4:10" ht="15.75" customHeight="1" x14ac:dyDescent="0.3">
      <c r="D582" s="3"/>
      <c r="E582" s="3"/>
      <c r="F582" s="3"/>
      <c r="G582" s="3"/>
      <c r="H582" s="3"/>
      <c r="I582" s="3"/>
      <c r="J582" s="92"/>
    </row>
    <row r="583" spans="4:10" ht="15.75" customHeight="1" x14ac:dyDescent="0.3">
      <c r="D583" s="3"/>
      <c r="E583" s="3"/>
      <c r="F583" s="3"/>
      <c r="G583" s="3"/>
      <c r="H583" s="3"/>
      <c r="I583" s="3"/>
      <c r="J583" s="92"/>
    </row>
    <row r="584" spans="4:10" ht="15.75" customHeight="1" x14ac:dyDescent="0.3">
      <c r="D584" s="3"/>
      <c r="E584" s="3"/>
      <c r="F584" s="3"/>
      <c r="G584" s="3"/>
      <c r="H584" s="3"/>
      <c r="I584" s="3"/>
      <c r="J584" s="92"/>
    </row>
    <row r="585" spans="4:10" ht="15.75" customHeight="1" x14ac:dyDescent="0.3">
      <c r="D585" s="3"/>
      <c r="E585" s="3"/>
      <c r="F585" s="3"/>
      <c r="G585" s="3"/>
      <c r="H585" s="3"/>
      <c r="I585" s="3"/>
      <c r="J585" s="92"/>
    </row>
    <row r="586" spans="4:10" ht="15.75" customHeight="1" x14ac:dyDescent="0.3">
      <c r="D586" s="3"/>
      <c r="E586" s="3"/>
      <c r="F586" s="3"/>
      <c r="G586" s="3"/>
      <c r="H586" s="3"/>
      <c r="I586" s="3"/>
      <c r="J586" s="92"/>
    </row>
    <row r="587" spans="4:10" ht="15.75" customHeight="1" x14ac:dyDescent="0.3">
      <c r="D587" s="3"/>
      <c r="E587" s="3"/>
      <c r="F587" s="3"/>
      <c r="G587" s="3"/>
      <c r="H587" s="3"/>
      <c r="I587" s="3"/>
      <c r="J587" s="92"/>
    </row>
    <row r="588" spans="4:10" ht="15.75" customHeight="1" x14ac:dyDescent="0.3">
      <c r="D588" s="3"/>
      <c r="E588" s="3"/>
      <c r="F588" s="3"/>
      <c r="G588" s="3"/>
      <c r="H588" s="3"/>
      <c r="I588" s="3"/>
      <c r="J588" s="92"/>
    </row>
    <row r="589" spans="4:10" ht="15.75" customHeight="1" x14ac:dyDescent="0.3">
      <c r="D589" s="3"/>
      <c r="E589" s="3"/>
      <c r="F589" s="3"/>
      <c r="G589" s="3"/>
      <c r="H589" s="3"/>
      <c r="I589" s="3"/>
      <c r="J589" s="92"/>
    </row>
    <row r="590" spans="4:10" ht="15.75" customHeight="1" x14ac:dyDescent="0.3">
      <c r="D590" s="3"/>
      <c r="E590" s="3"/>
      <c r="F590" s="3"/>
      <c r="G590" s="3"/>
      <c r="H590" s="3"/>
      <c r="I590" s="3"/>
      <c r="J590" s="92"/>
    </row>
    <row r="591" spans="4:10" ht="15.75" customHeight="1" x14ac:dyDescent="0.3">
      <c r="D591" s="3"/>
      <c r="E591" s="3"/>
      <c r="F591" s="3"/>
      <c r="G591" s="3"/>
      <c r="H591" s="3"/>
      <c r="I591" s="3"/>
      <c r="J591" s="92"/>
    </row>
    <row r="592" spans="4:10" ht="15.75" customHeight="1" x14ac:dyDescent="0.3">
      <c r="D592" s="3"/>
      <c r="E592" s="3"/>
      <c r="F592" s="3"/>
      <c r="G592" s="3"/>
      <c r="H592" s="3"/>
      <c r="I592" s="3"/>
      <c r="J592" s="92"/>
    </row>
    <row r="593" spans="4:10" ht="15.75" customHeight="1" x14ac:dyDescent="0.3">
      <c r="D593" s="3"/>
      <c r="E593" s="3"/>
      <c r="F593" s="3"/>
      <c r="G593" s="3"/>
      <c r="H593" s="3"/>
      <c r="I593" s="3"/>
      <c r="J593" s="92"/>
    </row>
    <row r="594" spans="4:10" ht="15.75" customHeight="1" x14ac:dyDescent="0.3">
      <c r="D594" s="3"/>
      <c r="E594" s="3"/>
      <c r="F594" s="3"/>
      <c r="G594" s="3"/>
      <c r="H594" s="3"/>
      <c r="I594" s="3"/>
      <c r="J594" s="92"/>
    </row>
    <row r="595" spans="4:10" ht="15.75" customHeight="1" x14ac:dyDescent="0.3">
      <c r="D595" s="3"/>
      <c r="E595" s="3"/>
      <c r="F595" s="3"/>
      <c r="G595" s="3"/>
      <c r="H595" s="3"/>
      <c r="I595" s="3"/>
      <c r="J595" s="92"/>
    </row>
    <row r="596" spans="4:10" ht="15.75" customHeight="1" x14ac:dyDescent="0.3">
      <c r="D596" s="3"/>
      <c r="E596" s="3"/>
      <c r="F596" s="3"/>
      <c r="G596" s="3"/>
      <c r="H596" s="3"/>
      <c r="I596" s="3"/>
      <c r="J596" s="92"/>
    </row>
    <row r="597" spans="4:10" ht="15.75" customHeight="1" x14ac:dyDescent="0.3">
      <c r="D597" s="3"/>
      <c r="E597" s="3"/>
      <c r="F597" s="3"/>
      <c r="G597" s="3"/>
      <c r="H597" s="3"/>
      <c r="I597" s="3"/>
      <c r="J597" s="92"/>
    </row>
    <row r="598" spans="4:10" ht="15.75" customHeight="1" x14ac:dyDescent="0.3">
      <c r="D598" s="3"/>
      <c r="E598" s="3"/>
      <c r="F598" s="3"/>
      <c r="G598" s="3"/>
      <c r="H598" s="3"/>
      <c r="I598" s="3"/>
      <c r="J598" s="92"/>
    </row>
    <row r="599" spans="4:10" ht="15.75" customHeight="1" x14ac:dyDescent="0.3">
      <c r="D599" s="3"/>
      <c r="E599" s="3"/>
      <c r="F599" s="3"/>
      <c r="G599" s="3"/>
      <c r="H599" s="3"/>
      <c r="I599" s="3"/>
      <c r="J599" s="92"/>
    </row>
    <row r="600" spans="4:10" ht="15.75" customHeight="1" x14ac:dyDescent="0.3">
      <c r="D600" s="3"/>
      <c r="E600" s="3"/>
      <c r="F600" s="3"/>
      <c r="G600" s="3"/>
      <c r="H600" s="3"/>
      <c r="I600" s="3"/>
      <c r="J600" s="92"/>
    </row>
    <row r="601" spans="4:10" ht="15.75" customHeight="1" x14ac:dyDescent="0.3">
      <c r="D601" s="3"/>
      <c r="E601" s="3"/>
      <c r="F601" s="3"/>
      <c r="G601" s="3"/>
      <c r="H601" s="3"/>
      <c r="I601" s="3"/>
      <c r="J601" s="92"/>
    </row>
    <row r="602" spans="4:10" ht="15.75" customHeight="1" x14ac:dyDescent="0.3">
      <c r="D602" s="3"/>
      <c r="E602" s="3"/>
      <c r="F602" s="3"/>
      <c r="G602" s="3"/>
      <c r="H602" s="3"/>
      <c r="I602" s="3"/>
      <c r="J602" s="92"/>
    </row>
    <row r="603" spans="4:10" ht="15.75" customHeight="1" x14ac:dyDescent="0.3">
      <c r="D603" s="3"/>
      <c r="E603" s="3"/>
      <c r="F603" s="3"/>
      <c r="G603" s="3"/>
      <c r="H603" s="3"/>
      <c r="I603" s="3"/>
      <c r="J603" s="92"/>
    </row>
    <row r="604" spans="4:10" ht="15.75" customHeight="1" x14ac:dyDescent="0.3">
      <c r="D604" s="3"/>
      <c r="E604" s="3"/>
      <c r="F604" s="3"/>
      <c r="G604" s="3"/>
      <c r="H604" s="3"/>
      <c r="I604" s="3"/>
      <c r="J604" s="92"/>
    </row>
    <row r="605" spans="4:10" ht="15.75" customHeight="1" x14ac:dyDescent="0.3">
      <c r="D605" s="3"/>
      <c r="E605" s="3"/>
      <c r="F605" s="3"/>
      <c r="G605" s="3"/>
      <c r="H605" s="3"/>
      <c r="I605" s="3"/>
      <c r="J605" s="92"/>
    </row>
    <row r="606" spans="4:10" ht="15.75" customHeight="1" x14ac:dyDescent="0.3">
      <c r="D606" s="3"/>
      <c r="E606" s="3"/>
      <c r="F606" s="3"/>
      <c r="G606" s="3"/>
      <c r="H606" s="3"/>
      <c r="I606" s="3"/>
      <c r="J606" s="92"/>
    </row>
    <row r="607" spans="4:10" ht="15.75" customHeight="1" x14ac:dyDescent="0.3">
      <c r="D607" s="3"/>
      <c r="E607" s="3"/>
      <c r="F607" s="3"/>
      <c r="G607" s="3"/>
      <c r="H607" s="3"/>
      <c r="I607" s="3"/>
      <c r="J607" s="92"/>
    </row>
    <row r="608" spans="4:10" ht="15.75" customHeight="1" x14ac:dyDescent="0.3">
      <c r="D608" s="3"/>
      <c r="E608" s="3"/>
      <c r="F608" s="3"/>
      <c r="G608" s="3"/>
      <c r="H608" s="3"/>
      <c r="I608" s="3"/>
      <c r="J608" s="92"/>
    </row>
    <row r="609" spans="4:10" ht="15.75" customHeight="1" x14ac:dyDescent="0.3">
      <c r="D609" s="3"/>
      <c r="E609" s="3"/>
      <c r="F609" s="3"/>
      <c r="G609" s="3"/>
      <c r="H609" s="3"/>
      <c r="I609" s="3"/>
      <c r="J609" s="92"/>
    </row>
    <row r="610" spans="4:10" ht="15.75" customHeight="1" x14ac:dyDescent="0.3">
      <c r="D610" s="3"/>
      <c r="E610" s="3"/>
      <c r="F610" s="3"/>
      <c r="G610" s="3"/>
      <c r="H610" s="3"/>
      <c r="I610" s="3"/>
      <c r="J610" s="92"/>
    </row>
    <row r="611" spans="4:10" ht="15.75" customHeight="1" x14ac:dyDescent="0.3">
      <c r="D611" s="3"/>
      <c r="E611" s="3"/>
      <c r="F611" s="3"/>
      <c r="G611" s="3"/>
      <c r="H611" s="3"/>
      <c r="I611" s="3"/>
      <c r="J611" s="92"/>
    </row>
    <row r="612" spans="4:10" ht="15.75" customHeight="1" x14ac:dyDescent="0.3">
      <c r="D612" s="3"/>
      <c r="E612" s="3"/>
      <c r="F612" s="3"/>
      <c r="G612" s="3"/>
      <c r="H612" s="3"/>
      <c r="I612" s="3"/>
      <c r="J612" s="92"/>
    </row>
    <row r="613" spans="4:10" ht="15.75" customHeight="1" x14ac:dyDescent="0.3">
      <c r="D613" s="3"/>
      <c r="E613" s="3"/>
      <c r="F613" s="3"/>
      <c r="G613" s="3"/>
      <c r="H613" s="3"/>
      <c r="I613" s="3"/>
      <c r="J613" s="92"/>
    </row>
    <row r="614" spans="4:10" ht="15.75" customHeight="1" x14ac:dyDescent="0.3">
      <c r="D614" s="3"/>
      <c r="E614" s="3"/>
      <c r="F614" s="3"/>
      <c r="G614" s="3"/>
      <c r="H614" s="3"/>
      <c r="I614" s="3"/>
      <c r="J614" s="92"/>
    </row>
    <row r="615" spans="4:10" ht="15.75" customHeight="1" x14ac:dyDescent="0.3">
      <c r="D615" s="3"/>
      <c r="E615" s="3"/>
      <c r="F615" s="3"/>
      <c r="G615" s="3"/>
      <c r="H615" s="3"/>
      <c r="I615" s="3"/>
      <c r="J615" s="92"/>
    </row>
    <row r="616" spans="4:10" ht="15.75" customHeight="1" x14ac:dyDescent="0.3">
      <c r="D616" s="3"/>
      <c r="E616" s="3"/>
      <c r="F616" s="3"/>
      <c r="G616" s="3"/>
      <c r="H616" s="3"/>
      <c r="I616" s="3"/>
      <c r="J616" s="92"/>
    </row>
    <row r="617" spans="4:10" ht="15.75" customHeight="1" x14ac:dyDescent="0.3">
      <c r="D617" s="3"/>
      <c r="E617" s="3"/>
      <c r="F617" s="3"/>
      <c r="G617" s="3"/>
      <c r="H617" s="3"/>
      <c r="I617" s="3"/>
      <c r="J617" s="92"/>
    </row>
    <row r="618" spans="4:10" ht="15.75" customHeight="1" x14ac:dyDescent="0.3">
      <c r="D618" s="3"/>
      <c r="E618" s="3"/>
      <c r="F618" s="3"/>
      <c r="G618" s="3"/>
      <c r="H618" s="3"/>
      <c r="I618" s="3"/>
      <c r="J618" s="92"/>
    </row>
    <row r="619" spans="4:10" ht="15.75" customHeight="1" x14ac:dyDescent="0.3">
      <c r="D619" s="3"/>
      <c r="E619" s="3"/>
      <c r="F619" s="3"/>
      <c r="G619" s="3"/>
      <c r="H619" s="3"/>
      <c r="I619" s="3"/>
      <c r="J619" s="92"/>
    </row>
    <row r="620" spans="4:10" ht="15.75" customHeight="1" x14ac:dyDescent="0.3">
      <c r="D620" s="3"/>
      <c r="E620" s="3"/>
      <c r="F620" s="3"/>
      <c r="G620" s="3"/>
      <c r="H620" s="3"/>
      <c r="I620" s="3"/>
      <c r="J620" s="92"/>
    </row>
    <row r="621" spans="4:10" ht="15.75" customHeight="1" x14ac:dyDescent="0.3">
      <c r="D621" s="3"/>
      <c r="E621" s="3"/>
      <c r="F621" s="3"/>
      <c r="G621" s="3"/>
      <c r="H621" s="3"/>
      <c r="I621" s="3"/>
      <c r="J621" s="92"/>
    </row>
    <row r="622" spans="4:10" ht="15.75" customHeight="1" x14ac:dyDescent="0.3">
      <c r="D622" s="3"/>
      <c r="E622" s="3"/>
      <c r="F622" s="3"/>
      <c r="G622" s="3"/>
      <c r="H622" s="3"/>
      <c r="I622" s="3"/>
      <c r="J622" s="92"/>
    </row>
    <row r="623" spans="4:10" ht="15.75" customHeight="1" x14ac:dyDescent="0.3">
      <c r="D623" s="3"/>
      <c r="E623" s="3"/>
      <c r="F623" s="3"/>
      <c r="G623" s="3"/>
      <c r="H623" s="3"/>
      <c r="I623" s="3"/>
      <c r="J623" s="92"/>
    </row>
    <row r="624" spans="4:10" ht="15.75" customHeight="1" x14ac:dyDescent="0.3">
      <c r="D624" s="3"/>
      <c r="E624" s="3"/>
      <c r="F624" s="3"/>
      <c r="G624" s="3"/>
      <c r="H624" s="3"/>
      <c r="I624" s="3"/>
      <c r="J624" s="92"/>
    </row>
    <row r="625" spans="4:10" ht="15.75" customHeight="1" x14ac:dyDescent="0.3">
      <c r="D625" s="3"/>
      <c r="E625" s="3"/>
      <c r="F625" s="3"/>
      <c r="G625" s="3"/>
      <c r="H625" s="3"/>
      <c r="I625" s="3"/>
      <c r="J625" s="92"/>
    </row>
    <row r="626" spans="4:10" ht="15.75" customHeight="1" x14ac:dyDescent="0.3">
      <c r="D626" s="3"/>
      <c r="E626" s="3"/>
      <c r="F626" s="3"/>
      <c r="G626" s="3"/>
      <c r="H626" s="3"/>
      <c r="I626" s="3"/>
      <c r="J626" s="92"/>
    </row>
    <row r="627" spans="4:10" ht="15.75" customHeight="1" x14ac:dyDescent="0.3">
      <c r="D627" s="3"/>
      <c r="E627" s="3"/>
      <c r="F627" s="3"/>
      <c r="G627" s="3"/>
      <c r="H627" s="3"/>
      <c r="I627" s="3"/>
      <c r="J627" s="92"/>
    </row>
    <row r="628" spans="4:10" ht="15.75" customHeight="1" x14ac:dyDescent="0.3">
      <c r="D628" s="3"/>
      <c r="E628" s="3"/>
      <c r="F628" s="3"/>
      <c r="G628" s="3"/>
      <c r="H628" s="3"/>
      <c r="I628" s="3"/>
      <c r="J628" s="92"/>
    </row>
    <row r="629" spans="4:10" ht="15.75" customHeight="1" x14ac:dyDescent="0.3">
      <c r="D629" s="3"/>
      <c r="E629" s="3"/>
      <c r="F629" s="3"/>
      <c r="G629" s="3"/>
      <c r="H629" s="3"/>
      <c r="I629" s="3"/>
      <c r="J629" s="92"/>
    </row>
    <row r="630" spans="4:10" ht="15.75" customHeight="1" x14ac:dyDescent="0.3">
      <c r="D630" s="3"/>
      <c r="E630" s="3"/>
      <c r="F630" s="3"/>
      <c r="G630" s="3"/>
      <c r="H630" s="3"/>
      <c r="I630" s="3"/>
      <c r="J630" s="92"/>
    </row>
    <row r="631" spans="4:10" ht="15.75" customHeight="1" x14ac:dyDescent="0.3">
      <c r="D631" s="3"/>
      <c r="E631" s="3"/>
      <c r="F631" s="3"/>
      <c r="G631" s="3"/>
      <c r="H631" s="3"/>
      <c r="I631" s="3"/>
      <c r="J631" s="92"/>
    </row>
    <row r="632" spans="4:10" ht="15.75" customHeight="1" x14ac:dyDescent="0.3">
      <c r="D632" s="3"/>
      <c r="E632" s="3"/>
      <c r="F632" s="3"/>
      <c r="G632" s="3"/>
      <c r="H632" s="3"/>
      <c r="I632" s="3"/>
      <c r="J632" s="92"/>
    </row>
    <row r="633" spans="4:10" ht="15.75" customHeight="1" x14ac:dyDescent="0.3">
      <c r="D633" s="3"/>
      <c r="E633" s="3"/>
      <c r="F633" s="3"/>
      <c r="G633" s="3"/>
      <c r="H633" s="3"/>
      <c r="I633" s="3"/>
      <c r="J633" s="92"/>
    </row>
    <row r="634" spans="4:10" ht="15.75" customHeight="1" x14ac:dyDescent="0.3">
      <c r="D634" s="3"/>
      <c r="E634" s="3"/>
      <c r="F634" s="3"/>
      <c r="G634" s="3"/>
      <c r="H634" s="3"/>
      <c r="I634" s="3"/>
      <c r="J634" s="92"/>
    </row>
    <row r="635" spans="4:10" ht="15.75" customHeight="1" x14ac:dyDescent="0.3">
      <c r="D635" s="3"/>
      <c r="E635" s="3"/>
      <c r="F635" s="3"/>
      <c r="G635" s="3"/>
      <c r="H635" s="3"/>
      <c r="I635" s="3"/>
      <c r="J635" s="92"/>
    </row>
    <row r="636" spans="4:10" ht="15.75" customHeight="1" x14ac:dyDescent="0.3">
      <c r="D636" s="3"/>
      <c r="E636" s="3"/>
      <c r="F636" s="3"/>
      <c r="G636" s="3"/>
      <c r="H636" s="3"/>
      <c r="I636" s="3"/>
      <c r="J636" s="92"/>
    </row>
    <row r="637" spans="4:10" ht="15.75" customHeight="1" x14ac:dyDescent="0.3">
      <c r="D637" s="3"/>
      <c r="E637" s="3"/>
      <c r="F637" s="3"/>
      <c r="G637" s="3"/>
      <c r="H637" s="3"/>
      <c r="I637" s="3"/>
      <c r="J637" s="92"/>
    </row>
    <row r="638" spans="4:10" ht="15.75" customHeight="1" x14ac:dyDescent="0.3">
      <c r="D638" s="3"/>
      <c r="E638" s="3"/>
      <c r="F638" s="3"/>
      <c r="G638" s="3"/>
      <c r="H638" s="3"/>
      <c r="I638" s="3"/>
      <c r="J638" s="92"/>
    </row>
    <row r="639" spans="4:10" ht="15.75" customHeight="1" x14ac:dyDescent="0.3">
      <c r="D639" s="3"/>
      <c r="E639" s="3"/>
      <c r="F639" s="3"/>
      <c r="G639" s="3"/>
      <c r="H639" s="3"/>
      <c r="I639" s="3"/>
      <c r="J639" s="92"/>
    </row>
    <row r="640" spans="4:10" ht="15.75" customHeight="1" x14ac:dyDescent="0.3">
      <c r="D640" s="3"/>
      <c r="E640" s="3"/>
      <c r="F640" s="3"/>
      <c r="G640" s="3"/>
      <c r="H640" s="3"/>
      <c r="I640" s="3"/>
      <c r="J640" s="92"/>
    </row>
    <row r="641" spans="4:10" ht="15.75" customHeight="1" x14ac:dyDescent="0.3">
      <c r="D641" s="3"/>
      <c r="E641" s="3"/>
      <c r="F641" s="3"/>
      <c r="G641" s="3"/>
      <c r="H641" s="3"/>
      <c r="I641" s="3"/>
      <c r="J641" s="92"/>
    </row>
    <row r="642" spans="4:10" ht="15.75" customHeight="1" x14ac:dyDescent="0.3">
      <c r="D642" s="3"/>
      <c r="E642" s="3"/>
      <c r="F642" s="3"/>
      <c r="G642" s="3"/>
      <c r="H642" s="3"/>
      <c r="I642" s="3"/>
      <c r="J642" s="92"/>
    </row>
    <row r="643" spans="4:10" ht="15.75" customHeight="1" x14ac:dyDescent="0.3">
      <c r="D643" s="3"/>
      <c r="E643" s="3"/>
      <c r="F643" s="3"/>
      <c r="G643" s="3"/>
      <c r="H643" s="3"/>
      <c r="I643" s="3"/>
      <c r="J643" s="92"/>
    </row>
    <row r="644" spans="4:10" ht="15.75" customHeight="1" x14ac:dyDescent="0.3">
      <c r="D644" s="3"/>
      <c r="E644" s="3"/>
      <c r="F644" s="3"/>
      <c r="G644" s="3"/>
      <c r="H644" s="3"/>
      <c r="I644" s="3"/>
      <c r="J644" s="92"/>
    </row>
    <row r="645" spans="4:10" ht="15.75" customHeight="1" x14ac:dyDescent="0.3">
      <c r="D645" s="3"/>
      <c r="E645" s="3"/>
      <c r="F645" s="3"/>
      <c r="G645" s="3"/>
      <c r="H645" s="3"/>
      <c r="I645" s="3"/>
      <c r="J645" s="92"/>
    </row>
    <row r="646" spans="4:10" ht="15.75" customHeight="1" x14ac:dyDescent="0.3">
      <c r="D646" s="3"/>
      <c r="E646" s="3"/>
      <c r="F646" s="3"/>
      <c r="G646" s="3"/>
      <c r="H646" s="3"/>
      <c r="I646" s="3"/>
      <c r="J646" s="92"/>
    </row>
    <row r="647" spans="4:10" ht="15.75" customHeight="1" x14ac:dyDescent="0.3">
      <c r="D647" s="3"/>
      <c r="E647" s="3"/>
      <c r="F647" s="3"/>
      <c r="G647" s="3"/>
      <c r="H647" s="3"/>
      <c r="I647" s="3"/>
      <c r="J647" s="92"/>
    </row>
    <row r="648" spans="4:10" ht="15.75" customHeight="1" x14ac:dyDescent="0.3">
      <c r="D648" s="3"/>
      <c r="E648" s="3"/>
      <c r="F648" s="3"/>
      <c r="G648" s="3"/>
      <c r="H648" s="3"/>
      <c r="I648" s="3"/>
      <c r="J648" s="92"/>
    </row>
    <row r="649" spans="4:10" ht="15.75" customHeight="1" x14ac:dyDescent="0.3">
      <c r="D649" s="3"/>
      <c r="E649" s="3"/>
      <c r="F649" s="3"/>
      <c r="G649" s="3"/>
      <c r="H649" s="3"/>
      <c r="I649" s="3"/>
      <c r="J649" s="92"/>
    </row>
    <row r="650" spans="4:10" ht="15.75" customHeight="1" x14ac:dyDescent="0.3">
      <c r="D650" s="3"/>
      <c r="E650" s="3"/>
      <c r="F650" s="3"/>
      <c r="G650" s="3"/>
      <c r="H650" s="3"/>
      <c r="I650" s="3"/>
      <c r="J650" s="92"/>
    </row>
    <row r="651" spans="4:10" ht="15.75" customHeight="1" x14ac:dyDescent="0.3">
      <c r="D651" s="3"/>
      <c r="E651" s="3"/>
      <c r="F651" s="3"/>
      <c r="G651" s="3"/>
      <c r="H651" s="3"/>
      <c r="I651" s="3"/>
      <c r="J651" s="92"/>
    </row>
    <row r="652" spans="4:10" ht="15.75" customHeight="1" x14ac:dyDescent="0.3">
      <c r="D652" s="3"/>
      <c r="E652" s="3"/>
      <c r="F652" s="3"/>
      <c r="G652" s="3"/>
      <c r="H652" s="3"/>
      <c r="I652" s="3"/>
      <c r="J652" s="92"/>
    </row>
    <row r="653" spans="4:10" ht="15.75" customHeight="1" x14ac:dyDescent="0.3">
      <c r="D653" s="3"/>
      <c r="E653" s="3"/>
      <c r="F653" s="3"/>
      <c r="G653" s="3"/>
      <c r="H653" s="3"/>
      <c r="I653" s="3"/>
      <c r="J653" s="92"/>
    </row>
    <row r="654" spans="4:10" ht="15.75" customHeight="1" x14ac:dyDescent="0.3">
      <c r="D654" s="3"/>
      <c r="E654" s="3"/>
      <c r="F654" s="3"/>
      <c r="G654" s="3"/>
      <c r="H654" s="3"/>
      <c r="I654" s="3"/>
      <c r="J654" s="92"/>
    </row>
    <row r="655" spans="4:10" ht="15.75" customHeight="1" x14ac:dyDescent="0.3">
      <c r="D655" s="3"/>
      <c r="E655" s="3"/>
      <c r="F655" s="3"/>
      <c r="G655" s="3"/>
      <c r="H655" s="3"/>
      <c r="I655" s="3"/>
      <c r="J655" s="92"/>
    </row>
    <row r="656" spans="4:10" ht="15.75" customHeight="1" x14ac:dyDescent="0.3">
      <c r="D656" s="3"/>
      <c r="E656" s="3"/>
      <c r="F656" s="3"/>
      <c r="G656" s="3"/>
      <c r="H656" s="3"/>
      <c r="I656" s="3"/>
      <c r="J656" s="92"/>
    </row>
    <row r="657" spans="4:10" ht="15.75" customHeight="1" x14ac:dyDescent="0.3">
      <c r="D657" s="3"/>
      <c r="E657" s="3"/>
      <c r="F657" s="3"/>
      <c r="G657" s="3"/>
      <c r="H657" s="3"/>
      <c r="I657" s="3"/>
      <c r="J657" s="92"/>
    </row>
    <row r="658" spans="4:10" ht="15.75" customHeight="1" x14ac:dyDescent="0.3">
      <c r="D658" s="3"/>
      <c r="E658" s="3"/>
      <c r="F658" s="3"/>
      <c r="G658" s="3"/>
      <c r="H658" s="3"/>
      <c r="I658" s="3"/>
      <c r="J658" s="92"/>
    </row>
    <row r="659" spans="4:10" ht="15.75" customHeight="1" x14ac:dyDescent="0.3">
      <c r="D659" s="3"/>
      <c r="E659" s="3"/>
      <c r="F659" s="3"/>
      <c r="G659" s="3"/>
      <c r="H659" s="3"/>
      <c r="I659" s="3"/>
      <c r="J659" s="92"/>
    </row>
    <row r="660" spans="4:10" ht="15.75" customHeight="1" x14ac:dyDescent="0.3">
      <c r="D660" s="3"/>
      <c r="E660" s="3"/>
      <c r="F660" s="3"/>
      <c r="G660" s="3"/>
      <c r="H660" s="3"/>
      <c r="I660" s="3"/>
      <c r="J660" s="92"/>
    </row>
    <row r="661" spans="4:10" ht="15.75" customHeight="1" x14ac:dyDescent="0.3">
      <c r="D661" s="3"/>
      <c r="E661" s="3"/>
      <c r="F661" s="3"/>
      <c r="G661" s="3"/>
      <c r="H661" s="3"/>
      <c r="I661" s="3"/>
      <c r="J661" s="92"/>
    </row>
    <row r="662" spans="4:10" ht="15.75" customHeight="1" x14ac:dyDescent="0.3">
      <c r="D662" s="3"/>
      <c r="E662" s="3"/>
      <c r="F662" s="3"/>
      <c r="G662" s="3"/>
      <c r="H662" s="3"/>
      <c r="I662" s="3"/>
      <c r="J662" s="92"/>
    </row>
    <row r="663" spans="4:10" ht="15.75" customHeight="1" x14ac:dyDescent="0.3">
      <c r="D663" s="3"/>
      <c r="E663" s="3"/>
      <c r="F663" s="3"/>
      <c r="G663" s="3"/>
      <c r="H663" s="3"/>
      <c r="I663" s="3"/>
      <c r="J663" s="92"/>
    </row>
    <row r="664" spans="4:10" ht="15.75" customHeight="1" x14ac:dyDescent="0.3">
      <c r="D664" s="3"/>
      <c r="E664" s="3"/>
      <c r="F664" s="3"/>
      <c r="G664" s="3"/>
      <c r="H664" s="3"/>
      <c r="I664" s="3"/>
      <c r="J664" s="92"/>
    </row>
    <row r="665" spans="4:10" ht="15.75" customHeight="1" x14ac:dyDescent="0.3">
      <c r="D665" s="3"/>
      <c r="E665" s="3"/>
      <c r="F665" s="3"/>
      <c r="G665" s="3"/>
      <c r="H665" s="3"/>
      <c r="I665" s="3"/>
      <c r="J665" s="92"/>
    </row>
    <row r="666" spans="4:10" ht="15.75" customHeight="1" x14ac:dyDescent="0.3">
      <c r="D666" s="3"/>
      <c r="E666" s="3"/>
      <c r="F666" s="3"/>
      <c r="G666" s="3"/>
      <c r="H666" s="3"/>
      <c r="I666" s="3"/>
      <c r="J666" s="92"/>
    </row>
    <row r="667" spans="4:10" ht="15.75" customHeight="1" x14ac:dyDescent="0.3">
      <c r="D667" s="3"/>
      <c r="E667" s="3"/>
      <c r="F667" s="3"/>
      <c r="G667" s="3"/>
      <c r="H667" s="3"/>
      <c r="I667" s="3"/>
      <c r="J667" s="92"/>
    </row>
    <row r="668" spans="4:10" ht="15.75" customHeight="1" x14ac:dyDescent="0.3">
      <c r="D668" s="3"/>
      <c r="E668" s="3"/>
      <c r="F668" s="3"/>
      <c r="G668" s="3"/>
      <c r="H668" s="3"/>
      <c r="I668" s="3"/>
      <c r="J668" s="92"/>
    </row>
    <row r="669" spans="4:10" ht="15.75" customHeight="1" x14ac:dyDescent="0.3">
      <c r="D669" s="3"/>
      <c r="E669" s="3"/>
      <c r="F669" s="3"/>
      <c r="G669" s="3"/>
      <c r="H669" s="3"/>
      <c r="I669" s="3"/>
      <c r="J669" s="92"/>
    </row>
    <row r="670" spans="4:10" ht="15.75" customHeight="1" x14ac:dyDescent="0.3">
      <c r="D670" s="3"/>
      <c r="E670" s="3"/>
      <c r="F670" s="3"/>
      <c r="G670" s="3"/>
      <c r="H670" s="3"/>
      <c r="I670" s="3"/>
      <c r="J670" s="92"/>
    </row>
    <row r="671" spans="4:10" ht="15.75" customHeight="1" x14ac:dyDescent="0.3">
      <c r="D671" s="3"/>
      <c r="E671" s="3"/>
      <c r="F671" s="3"/>
      <c r="G671" s="3"/>
      <c r="H671" s="3"/>
      <c r="I671" s="3"/>
      <c r="J671" s="92"/>
    </row>
    <row r="672" spans="4:10" ht="15.75" customHeight="1" x14ac:dyDescent="0.3">
      <c r="D672" s="3"/>
      <c r="E672" s="3"/>
      <c r="F672" s="3"/>
      <c r="G672" s="3"/>
      <c r="H672" s="3"/>
      <c r="I672" s="3"/>
      <c r="J672" s="92"/>
    </row>
    <row r="673" spans="4:10" ht="15.75" customHeight="1" x14ac:dyDescent="0.3">
      <c r="D673" s="3"/>
      <c r="E673" s="3"/>
      <c r="F673" s="3"/>
      <c r="G673" s="3"/>
      <c r="H673" s="3"/>
      <c r="I673" s="3"/>
      <c r="J673" s="92"/>
    </row>
    <row r="674" spans="4:10" ht="15.75" customHeight="1" x14ac:dyDescent="0.3">
      <c r="D674" s="3"/>
      <c r="E674" s="3"/>
      <c r="F674" s="3"/>
      <c r="G674" s="3"/>
      <c r="H674" s="3"/>
      <c r="I674" s="3"/>
      <c r="J674" s="92"/>
    </row>
    <row r="675" spans="4:10" ht="15.75" customHeight="1" x14ac:dyDescent="0.3">
      <c r="D675" s="3"/>
      <c r="E675" s="3"/>
      <c r="F675" s="3"/>
      <c r="G675" s="3"/>
      <c r="H675" s="3"/>
      <c r="I675" s="3"/>
      <c r="J675" s="92"/>
    </row>
    <row r="676" spans="4:10" ht="15.75" customHeight="1" x14ac:dyDescent="0.3">
      <c r="D676" s="3"/>
      <c r="E676" s="3"/>
      <c r="F676" s="3"/>
      <c r="G676" s="3"/>
      <c r="H676" s="3"/>
      <c r="I676" s="3"/>
      <c r="J676" s="92"/>
    </row>
    <row r="677" spans="4:10" ht="15.75" customHeight="1" x14ac:dyDescent="0.3">
      <c r="D677" s="3"/>
      <c r="E677" s="3"/>
      <c r="F677" s="3"/>
      <c r="G677" s="3"/>
      <c r="H677" s="3"/>
      <c r="I677" s="3"/>
      <c r="J677" s="92"/>
    </row>
    <row r="678" spans="4:10" ht="15.75" customHeight="1" x14ac:dyDescent="0.3">
      <c r="D678" s="3"/>
      <c r="E678" s="3"/>
      <c r="F678" s="3"/>
      <c r="G678" s="3"/>
      <c r="H678" s="3"/>
      <c r="I678" s="3"/>
      <c r="J678" s="92"/>
    </row>
    <row r="679" spans="4:10" ht="15.75" customHeight="1" x14ac:dyDescent="0.3">
      <c r="D679" s="3"/>
      <c r="E679" s="3"/>
      <c r="F679" s="3"/>
      <c r="G679" s="3"/>
      <c r="H679" s="3"/>
      <c r="I679" s="3"/>
      <c r="J679" s="92"/>
    </row>
    <row r="680" spans="4:10" ht="15.75" customHeight="1" x14ac:dyDescent="0.3">
      <c r="D680" s="3"/>
      <c r="E680" s="3"/>
      <c r="F680" s="3"/>
      <c r="G680" s="3"/>
      <c r="H680" s="3"/>
      <c r="I680" s="3"/>
      <c r="J680" s="92"/>
    </row>
    <row r="681" spans="4:10" ht="15.75" customHeight="1" x14ac:dyDescent="0.3">
      <c r="D681" s="3"/>
      <c r="E681" s="3"/>
      <c r="F681" s="3"/>
      <c r="G681" s="3"/>
      <c r="H681" s="3"/>
      <c r="I681" s="3"/>
      <c r="J681" s="92"/>
    </row>
    <row r="682" spans="4:10" ht="15.75" customHeight="1" x14ac:dyDescent="0.3">
      <c r="D682" s="3"/>
      <c r="E682" s="3"/>
      <c r="F682" s="3"/>
      <c r="G682" s="3"/>
      <c r="H682" s="3"/>
      <c r="I682" s="3"/>
      <c r="J682" s="92"/>
    </row>
    <row r="683" spans="4:10" ht="15.75" customHeight="1" x14ac:dyDescent="0.3">
      <c r="D683" s="3"/>
      <c r="E683" s="3"/>
      <c r="F683" s="3"/>
      <c r="G683" s="3"/>
      <c r="H683" s="3"/>
      <c r="I683" s="3"/>
      <c r="J683" s="92"/>
    </row>
    <row r="684" spans="4:10" ht="15.75" customHeight="1" x14ac:dyDescent="0.3">
      <c r="D684" s="3"/>
      <c r="E684" s="3"/>
      <c r="F684" s="3"/>
      <c r="G684" s="3"/>
      <c r="H684" s="3"/>
      <c r="I684" s="3"/>
      <c r="J684" s="92"/>
    </row>
    <row r="685" spans="4:10" ht="15.75" customHeight="1" x14ac:dyDescent="0.3">
      <c r="D685" s="3"/>
      <c r="E685" s="3"/>
      <c r="F685" s="3"/>
      <c r="G685" s="3"/>
      <c r="H685" s="3"/>
      <c r="I685" s="3"/>
      <c r="J685" s="92"/>
    </row>
    <row r="686" spans="4:10" ht="15.75" customHeight="1" x14ac:dyDescent="0.3">
      <c r="D686" s="3"/>
      <c r="E686" s="3"/>
      <c r="F686" s="3"/>
      <c r="G686" s="3"/>
      <c r="H686" s="3"/>
      <c r="I686" s="3"/>
      <c r="J686" s="92"/>
    </row>
    <row r="687" spans="4:10" ht="15.75" customHeight="1" x14ac:dyDescent="0.3">
      <c r="D687" s="3"/>
      <c r="E687" s="3"/>
      <c r="F687" s="3"/>
      <c r="G687" s="3"/>
      <c r="H687" s="3"/>
      <c r="I687" s="3"/>
      <c r="J687" s="92"/>
    </row>
    <row r="688" spans="4:10" ht="15.75" customHeight="1" x14ac:dyDescent="0.3">
      <c r="D688" s="3"/>
      <c r="E688" s="3"/>
      <c r="F688" s="3"/>
      <c r="G688" s="3"/>
      <c r="H688" s="3"/>
      <c r="I688" s="3"/>
      <c r="J688" s="92"/>
    </row>
    <row r="689" spans="4:10" ht="15.75" customHeight="1" x14ac:dyDescent="0.3">
      <c r="D689" s="3"/>
      <c r="E689" s="3"/>
      <c r="F689" s="3"/>
      <c r="G689" s="3"/>
      <c r="H689" s="3"/>
      <c r="I689" s="3"/>
      <c r="J689" s="92"/>
    </row>
    <row r="690" spans="4:10" ht="15.75" customHeight="1" x14ac:dyDescent="0.3">
      <c r="D690" s="3"/>
      <c r="E690" s="3"/>
      <c r="F690" s="3"/>
      <c r="G690" s="3"/>
      <c r="H690" s="3"/>
      <c r="I690" s="3"/>
      <c r="J690" s="92"/>
    </row>
    <row r="691" spans="4:10" ht="15.75" customHeight="1" x14ac:dyDescent="0.3">
      <c r="D691" s="3"/>
      <c r="E691" s="3"/>
      <c r="F691" s="3"/>
      <c r="G691" s="3"/>
      <c r="H691" s="3"/>
      <c r="I691" s="3"/>
      <c r="J691" s="92"/>
    </row>
    <row r="692" spans="4:10" ht="15.75" customHeight="1" x14ac:dyDescent="0.3">
      <c r="D692" s="3"/>
      <c r="E692" s="3"/>
      <c r="F692" s="3"/>
      <c r="G692" s="3"/>
      <c r="H692" s="3"/>
      <c r="I692" s="3"/>
      <c r="J692" s="92"/>
    </row>
    <row r="693" spans="4:10" ht="15.75" customHeight="1" x14ac:dyDescent="0.3">
      <c r="D693" s="3"/>
      <c r="E693" s="3"/>
      <c r="F693" s="3"/>
      <c r="G693" s="3"/>
      <c r="H693" s="3"/>
      <c r="I693" s="3"/>
      <c r="J693" s="92"/>
    </row>
    <row r="694" spans="4:10" ht="15.75" customHeight="1" x14ac:dyDescent="0.3">
      <c r="D694" s="3"/>
      <c r="E694" s="3"/>
      <c r="F694" s="3"/>
      <c r="G694" s="3"/>
      <c r="H694" s="3"/>
      <c r="I694" s="3"/>
      <c r="J694" s="92"/>
    </row>
    <row r="695" spans="4:10" ht="15.75" customHeight="1" x14ac:dyDescent="0.3">
      <c r="D695" s="3"/>
      <c r="E695" s="3"/>
      <c r="F695" s="3"/>
      <c r="G695" s="3"/>
      <c r="H695" s="3"/>
      <c r="I695" s="3"/>
      <c r="J695" s="92"/>
    </row>
    <row r="696" spans="4:10" ht="15.75" customHeight="1" x14ac:dyDescent="0.3">
      <c r="D696" s="3"/>
      <c r="E696" s="3"/>
      <c r="F696" s="3"/>
      <c r="G696" s="3"/>
      <c r="H696" s="3"/>
      <c r="I696" s="3"/>
      <c r="J696" s="92"/>
    </row>
    <row r="697" spans="4:10" ht="15.75" customHeight="1" x14ac:dyDescent="0.3">
      <c r="D697" s="3"/>
      <c r="E697" s="3"/>
      <c r="F697" s="3"/>
      <c r="G697" s="3"/>
      <c r="H697" s="3"/>
      <c r="I697" s="3"/>
      <c r="J697" s="92"/>
    </row>
    <row r="698" spans="4:10" ht="15.75" customHeight="1" x14ac:dyDescent="0.3">
      <c r="D698" s="3"/>
      <c r="E698" s="3"/>
      <c r="F698" s="3"/>
      <c r="G698" s="3"/>
      <c r="H698" s="3"/>
      <c r="I698" s="3"/>
      <c r="J698" s="92"/>
    </row>
    <row r="699" spans="4:10" ht="15.75" customHeight="1" x14ac:dyDescent="0.3">
      <c r="D699" s="3"/>
      <c r="E699" s="3"/>
      <c r="F699" s="3"/>
      <c r="G699" s="3"/>
      <c r="H699" s="3"/>
      <c r="I699" s="3"/>
      <c r="J699" s="92"/>
    </row>
    <row r="700" spans="4:10" ht="15.75" customHeight="1" x14ac:dyDescent="0.3">
      <c r="D700" s="3"/>
      <c r="E700" s="3"/>
      <c r="F700" s="3"/>
      <c r="G700" s="3"/>
      <c r="H700" s="3"/>
      <c r="I700" s="3"/>
      <c r="J700" s="92"/>
    </row>
    <row r="701" spans="4:10" ht="15.75" customHeight="1" x14ac:dyDescent="0.3">
      <c r="D701" s="3"/>
      <c r="E701" s="3"/>
      <c r="F701" s="3"/>
      <c r="G701" s="3"/>
      <c r="H701" s="3"/>
      <c r="I701" s="3"/>
      <c r="J701" s="92"/>
    </row>
    <row r="702" spans="4:10" ht="15.75" customHeight="1" x14ac:dyDescent="0.3">
      <c r="D702" s="3"/>
      <c r="E702" s="3"/>
      <c r="F702" s="3"/>
      <c r="G702" s="3"/>
      <c r="H702" s="3"/>
      <c r="I702" s="3"/>
      <c r="J702" s="92"/>
    </row>
    <row r="703" spans="4:10" ht="15.75" customHeight="1" x14ac:dyDescent="0.3">
      <c r="D703" s="3"/>
      <c r="E703" s="3"/>
      <c r="F703" s="3"/>
      <c r="G703" s="3"/>
      <c r="H703" s="3"/>
      <c r="I703" s="3"/>
      <c r="J703" s="92"/>
    </row>
    <row r="704" spans="4:10" ht="15.75" customHeight="1" x14ac:dyDescent="0.3">
      <c r="D704" s="3"/>
      <c r="E704" s="3"/>
      <c r="F704" s="3"/>
      <c r="G704" s="3"/>
      <c r="H704" s="3"/>
      <c r="I704" s="3"/>
      <c r="J704" s="92"/>
    </row>
    <row r="705" spans="4:10" ht="15.75" customHeight="1" x14ac:dyDescent="0.3">
      <c r="D705" s="3"/>
      <c r="E705" s="3"/>
      <c r="F705" s="3"/>
      <c r="G705" s="3"/>
      <c r="H705" s="3"/>
      <c r="I705" s="3"/>
      <c r="J705" s="92"/>
    </row>
    <row r="706" spans="4:10" ht="15.75" customHeight="1" x14ac:dyDescent="0.3">
      <c r="D706" s="3"/>
      <c r="E706" s="3"/>
      <c r="F706" s="3"/>
      <c r="G706" s="3"/>
      <c r="H706" s="3"/>
      <c r="I706" s="3"/>
      <c r="J706" s="92"/>
    </row>
    <row r="707" spans="4:10" ht="15.75" customHeight="1" x14ac:dyDescent="0.3">
      <c r="D707" s="3"/>
      <c r="E707" s="3"/>
      <c r="F707" s="3"/>
      <c r="G707" s="3"/>
      <c r="H707" s="3"/>
      <c r="I707" s="3"/>
      <c r="J707" s="92"/>
    </row>
    <row r="708" spans="4:10" ht="15.75" customHeight="1" x14ac:dyDescent="0.3">
      <c r="D708" s="3"/>
      <c r="E708" s="3"/>
      <c r="F708" s="3"/>
      <c r="G708" s="3"/>
      <c r="H708" s="3"/>
      <c r="I708" s="3"/>
      <c r="J708" s="92"/>
    </row>
    <row r="709" spans="4:10" ht="15.75" customHeight="1" x14ac:dyDescent="0.3">
      <c r="D709" s="3"/>
      <c r="E709" s="3"/>
      <c r="F709" s="3"/>
      <c r="G709" s="3"/>
      <c r="H709" s="3"/>
      <c r="I709" s="3"/>
      <c r="J709" s="92"/>
    </row>
    <row r="710" spans="4:10" ht="15.75" customHeight="1" x14ac:dyDescent="0.3">
      <c r="D710" s="3"/>
      <c r="E710" s="3"/>
      <c r="F710" s="3"/>
      <c r="G710" s="3"/>
      <c r="H710" s="3"/>
      <c r="I710" s="3"/>
      <c r="J710" s="92"/>
    </row>
    <row r="711" spans="4:10" ht="15.75" customHeight="1" x14ac:dyDescent="0.3">
      <c r="D711" s="3"/>
      <c r="E711" s="3"/>
      <c r="F711" s="3"/>
      <c r="G711" s="3"/>
      <c r="H711" s="3"/>
      <c r="I711" s="3"/>
      <c r="J711" s="92"/>
    </row>
    <row r="712" spans="4:10" ht="15.75" customHeight="1" x14ac:dyDescent="0.3">
      <c r="D712" s="3"/>
      <c r="E712" s="3"/>
      <c r="F712" s="3"/>
      <c r="G712" s="3"/>
      <c r="H712" s="3"/>
      <c r="I712" s="3"/>
      <c r="J712" s="92"/>
    </row>
    <row r="713" spans="4:10" ht="15.75" customHeight="1" x14ac:dyDescent="0.3">
      <c r="D713" s="3"/>
      <c r="E713" s="3"/>
      <c r="F713" s="3"/>
      <c r="G713" s="3"/>
      <c r="H713" s="3"/>
      <c r="I713" s="3"/>
      <c r="J713" s="92"/>
    </row>
    <row r="714" spans="4:10" ht="15.75" customHeight="1" x14ac:dyDescent="0.3">
      <c r="D714" s="3"/>
      <c r="E714" s="3"/>
      <c r="F714" s="3"/>
      <c r="G714" s="3"/>
      <c r="H714" s="3"/>
      <c r="I714" s="3"/>
      <c r="J714" s="92"/>
    </row>
    <row r="715" spans="4:10" ht="15.75" customHeight="1" x14ac:dyDescent="0.3">
      <c r="D715" s="3"/>
      <c r="E715" s="3"/>
      <c r="F715" s="3"/>
      <c r="G715" s="3"/>
      <c r="H715" s="3"/>
      <c r="I715" s="3"/>
      <c r="J715" s="92"/>
    </row>
    <row r="716" spans="4:10" ht="15.75" customHeight="1" x14ac:dyDescent="0.3">
      <c r="D716" s="3"/>
      <c r="E716" s="3"/>
      <c r="F716" s="3"/>
      <c r="G716" s="3"/>
      <c r="H716" s="3"/>
      <c r="I716" s="3"/>
      <c r="J716" s="92"/>
    </row>
    <row r="717" spans="4:10" ht="15.75" customHeight="1" x14ac:dyDescent="0.3">
      <c r="D717" s="3"/>
      <c r="E717" s="3"/>
      <c r="F717" s="3"/>
      <c r="G717" s="3"/>
      <c r="H717" s="3"/>
      <c r="I717" s="3"/>
      <c r="J717" s="92"/>
    </row>
    <row r="718" spans="4:10" ht="15.75" customHeight="1" x14ac:dyDescent="0.3">
      <c r="D718" s="3"/>
      <c r="E718" s="3"/>
      <c r="F718" s="3"/>
      <c r="G718" s="3"/>
      <c r="H718" s="3"/>
      <c r="I718" s="3"/>
      <c r="J718" s="92"/>
    </row>
    <row r="719" spans="4:10" ht="15.75" customHeight="1" x14ac:dyDescent="0.3">
      <c r="D719" s="3"/>
      <c r="E719" s="3"/>
      <c r="F719" s="3"/>
      <c r="G719" s="3"/>
      <c r="H719" s="3"/>
      <c r="I719" s="3"/>
      <c r="J719" s="92"/>
    </row>
    <row r="720" spans="4:10" ht="15.75" customHeight="1" x14ac:dyDescent="0.3">
      <c r="D720" s="3"/>
      <c r="E720" s="3"/>
      <c r="F720" s="3"/>
      <c r="G720" s="3"/>
      <c r="H720" s="3"/>
      <c r="I720" s="3"/>
      <c r="J720" s="92"/>
    </row>
    <row r="721" spans="4:10" ht="15.75" customHeight="1" x14ac:dyDescent="0.3">
      <c r="D721" s="3"/>
      <c r="E721" s="3"/>
      <c r="F721" s="3"/>
      <c r="G721" s="3"/>
      <c r="H721" s="3"/>
      <c r="I721" s="3"/>
      <c r="J721" s="92"/>
    </row>
    <row r="722" spans="4:10" ht="15.75" customHeight="1" x14ac:dyDescent="0.3">
      <c r="D722" s="3"/>
      <c r="E722" s="3"/>
      <c r="F722" s="3"/>
      <c r="G722" s="3"/>
      <c r="H722" s="3"/>
      <c r="I722" s="3"/>
      <c r="J722" s="92"/>
    </row>
    <row r="723" spans="4:10" ht="15.75" customHeight="1" x14ac:dyDescent="0.3">
      <c r="D723" s="3"/>
      <c r="E723" s="3"/>
      <c r="F723" s="3"/>
      <c r="G723" s="3"/>
      <c r="H723" s="3"/>
      <c r="I723" s="3"/>
      <c r="J723" s="92"/>
    </row>
    <row r="724" spans="4:10" ht="15.75" customHeight="1" x14ac:dyDescent="0.3">
      <c r="D724" s="3"/>
      <c r="E724" s="3"/>
      <c r="F724" s="3"/>
      <c r="G724" s="3"/>
      <c r="H724" s="3"/>
      <c r="I724" s="3"/>
      <c r="J724" s="92"/>
    </row>
    <row r="725" spans="4:10" ht="15.75" customHeight="1" x14ac:dyDescent="0.3">
      <c r="D725" s="3"/>
      <c r="E725" s="3"/>
      <c r="F725" s="3"/>
      <c r="G725" s="3"/>
      <c r="H725" s="3"/>
      <c r="I725" s="3"/>
      <c r="J725" s="92"/>
    </row>
    <row r="726" spans="4:10" ht="15.75" customHeight="1" x14ac:dyDescent="0.3">
      <c r="D726" s="3"/>
      <c r="E726" s="3"/>
      <c r="F726" s="3"/>
      <c r="G726" s="3"/>
      <c r="H726" s="3"/>
      <c r="I726" s="3"/>
      <c r="J726" s="92"/>
    </row>
    <row r="727" spans="4:10" ht="15.75" customHeight="1" x14ac:dyDescent="0.3">
      <c r="D727" s="3"/>
      <c r="E727" s="3"/>
      <c r="F727" s="3"/>
      <c r="G727" s="3"/>
      <c r="H727" s="3"/>
      <c r="I727" s="3"/>
      <c r="J727" s="92"/>
    </row>
    <row r="728" spans="4:10" ht="15.75" customHeight="1" x14ac:dyDescent="0.3">
      <c r="D728" s="3"/>
      <c r="E728" s="3"/>
      <c r="F728" s="3"/>
      <c r="G728" s="3"/>
      <c r="H728" s="3"/>
      <c r="I728" s="3"/>
      <c r="J728" s="92"/>
    </row>
    <row r="729" spans="4:10" ht="15.75" customHeight="1" x14ac:dyDescent="0.3">
      <c r="D729" s="3"/>
      <c r="E729" s="3"/>
      <c r="F729" s="3"/>
      <c r="G729" s="3"/>
      <c r="H729" s="3"/>
      <c r="I729" s="3"/>
      <c r="J729" s="92"/>
    </row>
    <row r="730" spans="4:10" ht="15.75" customHeight="1" x14ac:dyDescent="0.3">
      <c r="D730" s="3"/>
      <c r="E730" s="3"/>
      <c r="F730" s="3"/>
      <c r="G730" s="3"/>
      <c r="H730" s="3"/>
      <c r="I730" s="3"/>
      <c r="J730" s="92"/>
    </row>
    <row r="731" spans="4:10" ht="15.75" customHeight="1" x14ac:dyDescent="0.3">
      <c r="D731" s="3"/>
      <c r="E731" s="3"/>
      <c r="F731" s="3"/>
      <c r="G731" s="3"/>
      <c r="H731" s="3"/>
      <c r="I731" s="3"/>
      <c r="J731" s="92"/>
    </row>
    <row r="732" spans="4:10" ht="15.75" customHeight="1" x14ac:dyDescent="0.3">
      <c r="D732" s="3"/>
      <c r="E732" s="3"/>
      <c r="F732" s="3"/>
      <c r="G732" s="3"/>
      <c r="H732" s="3"/>
      <c r="I732" s="3"/>
      <c r="J732" s="92"/>
    </row>
    <row r="733" spans="4:10" ht="15.75" customHeight="1" x14ac:dyDescent="0.3">
      <c r="D733" s="3"/>
      <c r="E733" s="3"/>
      <c r="F733" s="3"/>
      <c r="G733" s="3"/>
      <c r="H733" s="3"/>
      <c r="I733" s="3"/>
      <c r="J733" s="92"/>
    </row>
    <row r="734" spans="4:10" ht="15.75" customHeight="1" x14ac:dyDescent="0.3">
      <c r="D734" s="3"/>
      <c r="E734" s="3"/>
      <c r="F734" s="3"/>
      <c r="G734" s="3"/>
      <c r="H734" s="3"/>
      <c r="I734" s="3"/>
      <c r="J734" s="92"/>
    </row>
    <row r="735" spans="4:10" ht="15.75" customHeight="1" x14ac:dyDescent="0.3">
      <c r="D735" s="3"/>
      <c r="E735" s="3"/>
      <c r="F735" s="3"/>
      <c r="G735" s="3"/>
      <c r="H735" s="3"/>
      <c r="I735" s="3"/>
      <c r="J735" s="92"/>
    </row>
    <row r="736" spans="4:10" ht="15.75" customHeight="1" x14ac:dyDescent="0.3">
      <c r="D736" s="3"/>
      <c r="E736" s="3"/>
      <c r="F736" s="3"/>
      <c r="G736" s="3"/>
      <c r="H736" s="3"/>
      <c r="I736" s="3"/>
      <c r="J736" s="92"/>
    </row>
    <row r="737" spans="4:10" ht="15.75" customHeight="1" x14ac:dyDescent="0.3">
      <c r="D737" s="3"/>
      <c r="E737" s="3"/>
      <c r="F737" s="3"/>
      <c r="G737" s="3"/>
      <c r="H737" s="3"/>
      <c r="I737" s="3"/>
      <c r="J737" s="92"/>
    </row>
    <row r="738" spans="4:10" ht="15.75" customHeight="1" x14ac:dyDescent="0.3">
      <c r="D738" s="3"/>
      <c r="E738" s="3"/>
      <c r="F738" s="3"/>
      <c r="G738" s="3"/>
      <c r="H738" s="3"/>
      <c r="I738" s="3"/>
      <c r="J738" s="92"/>
    </row>
    <row r="739" spans="4:10" ht="15.75" customHeight="1" x14ac:dyDescent="0.3">
      <c r="D739" s="3"/>
      <c r="E739" s="3"/>
      <c r="F739" s="3"/>
      <c r="G739" s="3"/>
      <c r="H739" s="3"/>
      <c r="I739" s="3"/>
      <c r="J739" s="92"/>
    </row>
    <row r="740" spans="4:10" ht="15.75" customHeight="1" x14ac:dyDescent="0.3">
      <c r="D740" s="3"/>
      <c r="E740" s="3"/>
      <c r="F740" s="3"/>
      <c r="G740" s="3"/>
      <c r="H740" s="3"/>
      <c r="I740" s="3"/>
      <c r="J740" s="92"/>
    </row>
    <row r="741" spans="4:10" ht="15.75" customHeight="1" x14ac:dyDescent="0.3">
      <c r="D741" s="3"/>
      <c r="E741" s="3"/>
      <c r="F741" s="3"/>
      <c r="G741" s="3"/>
      <c r="H741" s="3"/>
      <c r="I741" s="3"/>
      <c r="J741" s="92"/>
    </row>
    <row r="742" spans="4:10" ht="15.75" customHeight="1" x14ac:dyDescent="0.3">
      <c r="D742" s="3"/>
      <c r="E742" s="3"/>
      <c r="F742" s="3"/>
      <c r="G742" s="3"/>
      <c r="H742" s="3"/>
      <c r="I742" s="3"/>
      <c r="J742" s="92"/>
    </row>
    <row r="743" spans="4:10" ht="15.75" customHeight="1" x14ac:dyDescent="0.3">
      <c r="D743" s="3"/>
      <c r="E743" s="3"/>
      <c r="F743" s="3"/>
      <c r="G743" s="3"/>
      <c r="H743" s="3"/>
      <c r="I743" s="3"/>
      <c r="J743" s="92"/>
    </row>
    <row r="744" spans="4:10" ht="15.75" customHeight="1" x14ac:dyDescent="0.3">
      <c r="D744" s="3"/>
      <c r="E744" s="3"/>
      <c r="F744" s="3"/>
      <c r="G744" s="3"/>
      <c r="H744" s="3"/>
      <c r="I744" s="3"/>
      <c r="J744" s="92"/>
    </row>
    <row r="745" spans="4:10" ht="15.75" customHeight="1" x14ac:dyDescent="0.3">
      <c r="D745" s="3"/>
      <c r="E745" s="3"/>
      <c r="F745" s="3"/>
      <c r="G745" s="3"/>
      <c r="H745" s="3"/>
      <c r="I745" s="3"/>
      <c r="J745" s="92"/>
    </row>
    <row r="746" spans="4:10" ht="15.75" customHeight="1" x14ac:dyDescent="0.3">
      <c r="D746" s="3"/>
      <c r="E746" s="3"/>
      <c r="F746" s="3"/>
      <c r="G746" s="3"/>
      <c r="H746" s="3"/>
      <c r="I746" s="3"/>
      <c r="J746" s="92"/>
    </row>
    <row r="747" spans="4:10" ht="15.75" customHeight="1" x14ac:dyDescent="0.3">
      <c r="D747" s="3"/>
      <c r="E747" s="3"/>
      <c r="F747" s="3"/>
      <c r="G747" s="3"/>
      <c r="H747" s="3"/>
      <c r="I747" s="3"/>
      <c r="J747" s="92"/>
    </row>
    <row r="748" spans="4:10" ht="15.75" customHeight="1" x14ac:dyDescent="0.3">
      <c r="D748" s="3"/>
      <c r="E748" s="3"/>
      <c r="F748" s="3"/>
      <c r="G748" s="3"/>
      <c r="H748" s="3"/>
      <c r="I748" s="3"/>
      <c r="J748" s="92"/>
    </row>
    <row r="749" spans="4:10" ht="15.75" customHeight="1" x14ac:dyDescent="0.3">
      <c r="D749" s="3"/>
      <c r="E749" s="3"/>
      <c r="F749" s="3"/>
      <c r="G749" s="3"/>
      <c r="H749" s="3"/>
      <c r="I749" s="3"/>
      <c r="J749" s="92"/>
    </row>
    <row r="750" spans="4:10" ht="15.75" customHeight="1" x14ac:dyDescent="0.3">
      <c r="D750" s="3"/>
      <c r="E750" s="3"/>
      <c r="F750" s="3"/>
      <c r="G750" s="3"/>
      <c r="H750" s="3"/>
      <c r="I750" s="3"/>
      <c r="J750" s="92"/>
    </row>
    <row r="751" spans="4:10" ht="15.75" customHeight="1" x14ac:dyDescent="0.3">
      <c r="D751" s="3"/>
      <c r="E751" s="3"/>
      <c r="F751" s="3"/>
      <c r="G751" s="3"/>
      <c r="H751" s="3"/>
      <c r="I751" s="3"/>
      <c r="J751" s="92"/>
    </row>
    <row r="752" spans="4:10" ht="15.75" customHeight="1" x14ac:dyDescent="0.3">
      <c r="D752" s="3"/>
      <c r="E752" s="3"/>
      <c r="F752" s="3"/>
      <c r="G752" s="3"/>
      <c r="H752" s="3"/>
      <c r="I752" s="3"/>
      <c r="J752" s="92"/>
    </row>
    <row r="753" spans="4:10" ht="15.75" customHeight="1" x14ac:dyDescent="0.3">
      <c r="D753" s="3"/>
      <c r="E753" s="3"/>
      <c r="F753" s="3"/>
      <c r="G753" s="3"/>
      <c r="H753" s="3"/>
      <c r="I753" s="3"/>
      <c r="J753" s="92"/>
    </row>
    <row r="754" spans="4:10" ht="15.75" customHeight="1" x14ac:dyDescent="0.3">
      <c r="D754" s="3"/>
      <c r="E754" s="3"/>
      <c r="F754" s="3"/>
      <c r="G754" s="3"/>
      <c r="H754" s="3"/>
      <c r="I754" s="3"/>
      <c r="J754" s="92"/>
    </row>
    <row r="755" spans="4:10" ht="15.75" customHeight="1" x14ac:dyDescent="0.3">
      <c r="D755" s="3"/>
      <c r="E755" s="3"/>
      <c r="F755" s="3"/>
      <c r="G755" s="3"/>
      <c r="H755" s="3"/>
      <c r="I755" s="3"/>
      <c r="J755" s="92"/>
    </row>
    <row r="756" spans="4:10" ht="15.75" customHeight="1" x14ac:dyDescent="0.3">
      <c r="D756" s="3"/>
      <c r="E756" s="3"/>
      <c r="F756" s="3"/>
      <c r="G756" s="3"/>
      <c r="H756" s="3"/>
      <c r="I756" s="3"/>
      <c r="J756" s="92"/>
    </row>
    <row r="757" spans="4:10" ht="15.75" customHeight="1" x14ac:dyDescent="0.3">
      <c r="D757" s="3"/>
      <c r="E757" s="3"/>
      <c r="F757" s="3"/>
      <c r="G757" s="3"/>
      <c r="H757" s="3"/>
      <c r="I757" s="3"/>
      <c r="J757" s="92"/>
    </row>
    <row r="758" spans="4:10" ht="15.75" customHeight="1" x14ac:dyDescent="0.3">
      <c r="D758" s="3"/>
      <c r="E758" s="3"/>
      <c r="F758" s="3"/>
      <c r="G758" s="3"/>
      <c r="H758" s="3"/>
      <c r="I758" s="3"/>
      <c r="J758" s="92"/>
    </row>
    <row r="759" spans="4:10" ht="15.75" customHeight="1" x14ac:dyDescent="0.3">
      <c r="D759" s="3"/>
      <c r="E759" s="3"/>
      <c r="F759" s="3"/>
      <c r="G759" s="3"/>
      <c r="H759" s="3"/>
      <c r="I759" s="3"/>
      <c r="J759" s="92"/>
    </row>
    <row r="760" spans="4:10" ht="15.75" customHeight="1" x14ac:dyDescent="0.3">
      <c r="D760" s="3"/>
      <c r="E760" s="3"/>
      <c r="F760" s="3"/>
      <c r="G760" s="3"/>
      <c r="H760" s="3"/>
      <c r="I760" s="3"/>
      <c r="J760" s="92"/>
    </row>
    <row r="761" spans="4:10" ht="15.75" customHeight="1" x14ac:dyDescent="0.3">
      <c r="D761" s="3"/>
      <c r="E761" s="3"/>
      <c r="F761" s="3"/>
      <c r="G761" s="3"/>
      <c r="H761" s="3"/>
      <c r="I761" s="3"/>
      <c r="J761" s="92"/>
    </row>
    <row r="762" spans="4:10" ht="15.75" customHeight="1" x14ac:dyDescent="0.3">
      <c r="D762" s="3"/>
      <c r="E762" s="3"/>
      <c r="F762" s="3"/>
      <c r="G762" s="3"/>
      <c r="H762" s="3"/>
      <c r="I762" s="3"/>
      <c r="J762" s="92"/>
    </row>
    <row r="763" spans="4:10" ht="15.75" customHeight="1" x14ac:dyDescent="0.3">
      <c r="D763" s="3"/>
      <c r="E763" s="3"/>
      <c r="F763" s="3"/>
      <c r="G763" s="3"/>
      <c r="H763" s="3"/>
      <c r="I763" s="3"/>
      <c r="J763" s="92"/>
    </row>
    <row r="764" spans="4:10" ht="15.75" customHeight="1" x14ac:dyDescent="0.3">
      <c r="D764" s="3"/>
      <c r="E764" s="3"/>
      <c r="F764" s="3"/>
      <c r="G764" s="3"/>
      <c r="H764" s="3"/>
      <c r="I764" s="3"/>
      <c r="J764" s="92"/>
    </row>
    <row r="765" spans="4:10" ht="15.75" customHeight="1" x14ac:dyDescent="0.3">
      <c r="D765" s="3"/>
      <c r="E765" s="3"/>
      <c r="F765" s="3"/>
      <c r="G765" s="3"/>
      <c r="H765" s="3"/>
      <c r="I765" s="3"/>
      <c r="J765" s="92"/>
    </row>
    <row r="766" spans="4:10" ht="15.75" customHeight="1" x14ac:dyDescent="0.3">
      <c r="D766" s="3"/>
      <c r="E766" s="3"/>
      <c r="F766" s="3"/>
      <c r="G766" s="3"/>
      <c r="H766" s="3"/>
      <c r="I766" s="3"/>
      <c r="J766" s="92"/>
    </row>
    <row r="767" spans="4:10" ht="15.75" customHeight="1" x14ac:dyDescent="0.3">
      <c r="D767" s="3"/>
      <c r="E767" s="3"/>
      <c r="F767" s="3"/>
      <c r="G767" s="3"/>
      <c r="H767" s="3"/>
      <c r="I767" s="3"/>
      <c r="J767" s="92"/>
    </row>
    <row r="768" spans="4:10" ht="15.75" customHeight="1" x14ac:dyDescent="0.3">
      <c r="D768" s="3"/>
      <c r="E768" s="3"/>
      <c r="F768" s="3"/>
      <c r="G768" s="3"/>
      <c r="H768" s="3"/>
      <c r="I768" s="3"/>
      <c r="J768" s="92"/>
    </row>
    <row r="769" spans="4:10" ht="15.75" customHeight="1" x14ac:dyDescent="0.3">
      <c r="D769" s="3"/>
      <c r="E769" s="3"/>
      <c r="F769" s="3"/>
      <c r="G769" s="3"/>
      <c r="H769" s="3"/>
      <c r="I769" s="3"/>
      <c r="J769" s="92"/>
    </row>
    <row r="770" spans="4:10" ht="15.75" customHeight="1" x14ac:dyDescent="0.3">
      <c r="D770" s="3"/>
      <c r="E770" s="3"/>
      <c r="F770" s="3"/>
      <c r="G770" s="3"/>
      <c r="H770" s="3"/>
      <c r="I770" s="3"/>
      <c r="J770" s="92"/>
    </row>
    <row r="771" spans="4:10" ht="15.75" customHeight="1" x14ac:dyDescent="0.3">
      <c r="D771" s="3"/>
      <c r="E771" s="3"/>
      <c r="F771" s="3"/>
      <c r="G771" s="3"/>
      <c r="H771" s="3"/>
      <c r="I771" s="3"/>
      <c r="J771" s="92"/>
    </row>
    <row r="772" spans="4:10" ht="15.75" customHeight="1" x14ac:dyDescent="0.3">
      <c r="D772" s="3"/>
      <c r="E772" s="3"/>
      <c r="F772" s="3"/>
      <c r="G772" s="3"/>
      <c r="H772" s="3"/>
      <c r="I772" s="3"/>
      <c r="J772" s="92"/>
    </row>
    <row r="773" spans="4:10" ht="15.75" customHeight="1" x14ac:dyDescent="0.3">
      <c r="D773" s="3"/>
      <c r="E773" s="3"/>
      <c r="F773" s="3"/>
      <c r="G773" s="3"/>
      <c r="H773" s="3"/>
      <c r="I773" s="3"/>
      <c r="J773" s="92"/>
    </row>
    <row r="774" spans="4:10" ht="15.75" customHeight="1" x14ac:dyDescent="0.3">
      <c r="D774" s="3"/>
      <c r="E774" s="3"/>
      <c r="F774" s="3"/>
      <c r="G774" s="3"/>
      <c r="H774" s="3"/>
      <c r="I774" s="3"/>
      <c r="J774" s="92"/>
    </row>
    <row r="775" spans="4:10" ht="15.75" customHeight="1" x14ac:dyDescent="0.3">
      <c r="D775" s="3"/>
      <c r="E775" s="3"/>
      <c r="F775" s="3"/>
      <c r="G775" s="3"/>
      <c r="H775" s="3"/>
      <c r="I775" s="3"/>
      <c r="J775" s="92"/>
    </row>
    <row r="776" spans="4:10" ht="15.75" customHeight="1" x14ac:dyDescent="0.3">
      <c r="D776" s="3"/>
      <c r="E776" s="3"/>
      <c r="F776" s="3"/>
      <c r="G776" s="3"/>
      <c r="H776" s="3"/>
      <c r="I776" s="3"/>
      <c r="J776" s="92"/>
    </row>
    <row r="777" spans="4:10" ht="15.75" customHeight="1" x14ac:dyDescent="0.3">
      <c r="D777" s="3"/>
      <c r="E777" s="3"/>
      <c r="F777" s="3"/>
      <c r="G777" s="3"/>
      <c r="H777" s="3"/>
      <c r="I777" s="3"/>
      <c r="J777" s="92"/>
    </row>
    <row r="778" spans="4:10" ht="15.75" customHeight="1" x14ac:dyDescent="0.3">
      <c r="D778" s="3"/>
      <c r="E778" s="3"/>
      <c r="F778" s="3"/>
      <c r="G778" s="3"/>
      <c r="H778" s="3"/>
      <c r="I778" s="3"/>
      <c r="J778" s="92"/>
    </row>
    <row r="779" spans="4:10" ht="15.75" customHeight="1" x14ac:dyDescent="0.3">
      <c r="D779" s="3"/>
      <c r="E779" s="3"/>
      <c r="F779" s="3"/>
      <c r="G779" s="3"/>
      <c r="H779" s="3"/>
      <c r="I779" s="3"/>
      <c r="J779" s="92"/>
    </row>
    <row r="780" spans="4:10" ht="15.75" customHeight="1" x14ac:dyDescent="0.3">
      <c r="D780" s="3"/>
      <c r="E780" s="3"/>
      <c r="F780" s="3"/>
      <c r="G780" s="3"/>
      <c r="H780" s="3"/>
      <c r="I780" s="3"/>
      <c r="J780" s="92"/>
    </row>
    <row r="781" spans="4:10" ht="15.75" customHeight="1" x14ac:dyDescent="0.3">
      <c r="D781" s="3"/>
      <c r="E781" s="3"/>
      <c r="F781" s="3"/>
      <c r="G781" s="3"/>
      <c r="H781" s="3"/>
      <c r="I781" s="3"/>
      <c r="J781" s="92"/>
    </row>
    <row r="782" spans="4:10" ht="15.75" customHeight="1" x14ac:dyDescent="0.3">
      <c r="D782" s="3"/>
      <c r="E782" s="3"/>
      <c r="F782" s="3"/>
      <c r="G782" s="3"/>
      <c r="H782" s="3"/>
      <c r="I782" s="3"/>
      <c r="J782" s="92"/>
    </row>
    <row r="783" spans="4:10" ht="15.75" customHeight="1" x14ac:dyDescent="0.3">
      <c r="D783" s="3"/>
      <c r="E783" s="3"/>
      <c r="F783" s="3"/>
      <c r="G783" s="3"/>
      <c r="H783" s="3"/>
      <c r="I783" s="3"/>
      <c r="J783" s="92"/>
    </row>
    <row r="784" spans="4:10" ht="15.75" customHeight="1" x14ac:dyDescent="0.3">
      <c r="D784" s="3"/>
      <c r="E784" s="3"/>
      <c r="F784" s="3"/>
      <c r="G784" s="3"/>
      <c r="H784" s="3"/>
      <c r="I784" s="3"/>
      <c r="J784" s="92"/>
    </row>
    <row r="785" spans="4:10" ht="15.75" customHeight="1" x14ac:dyDescent="0.3">
      <c r="D785" s="3"/>
      <c r="E785" s="3"/>
      <c r="F785" s="3"/>
      <c r="G785" s="3"/>
      <c r="H785" s="3"/>
      <c r="I785" s="3"/>
      <c r="J785" s="92"/>
    </row>
    <row r="786" spans="4:10" ht="15.75" customHeight="1" x14ac:dyDescent="0.3">
      <c r="D786" s="3"/>
      <c r="E786" s="3"/>
      <c r="F786" s="3"/>
      <c r="G786" s="3"/>
      <c r="H786" s="3"/>
      <c r="I786" s="3"/>
      <c r="J786" s="92"/>
    </row>
    <row r="787" spans="4:10" ht="15.75" customHeight="1" x14ac:dyDescent="0.3">
      <c r="D787" s="3"/>
      <c r="E787" s="3"/>
      <c r="F787" s="3"/>
      <c r="G787" s="3"/>
      <c r="H787" s="3"/>
      <c r="I787" s="3"/>
      <c r="J787" s="92"/>
    </row>
    <row r="788" spans="4:10" ht="15.75" customHeight="1" x14ac:dyDescent="0.3">
      <c r="D788" s="3"/>
      <c r="E788" s="3"/>
      <c r="F788" s="3"/>
      <c r="G788" s="3"/>
      <c r="H788" s="3"/>
      <c r="I788" s="3"/>
      <c r="J788" s="92"/>
    </row>
    <row r="789" spans="4:10" ht="15.75" customHeight="1" x14ac:dyDescent="0.3">
      <c r="D789" s="3"/>
      <c r="E789" s="3"/>
      <c r="F789" s="3"/>
      <c r="G789" s="3"/>
      <c r="H789" s="3"/>
      <c r="I789" s="3"/>
      <c r="J789" s="92"/>
    </row>
    <row r="790" spans="4:10" ht="15.75" customHeight="1" x14ac:dyDescent="0.3">
      <c r="D790" s="3"/>
      <c r="E790" s="3"/>
      <c r="F790" s="3"/>
      <c r="G790" s="3"/>
      <c r="H790" s="3"/>
      <c r="I790" s="3"/>
      <c r="J790" s="92"/>
    </row>
    <row r="791" spans="4:10" ht="15.75" customHeight="1" x14ac:dyDescent="0.3">
      <c r="D791" s="3"/>
      <c r="E791" s="3"/>
      <c r="F791" s="3"/>
      <c r="G791" s="3"/>
      <c r="H791" s="3"/>
      <c r="I791" s="3"/>
      <c r="J791" s="92"/>
    </row>
    <row r="792" spans="4:10" ht="15.75" customHeight="1" x14ac:dyDescent="0.3">
      <c r="D792" s="3"/>
      <c r="E792" s="3"/>
      <c r="F792" s="3"/>
      <c r="G792" s="3"/>
      <c r="H792" s="3"/>
      <c r="I792" s="3"/>
      <c r="J792" s="92"/>
    </row>
    <row r="793" spans="4:10" ht="15.75" customHeight="1" x14ac:dyDescent="0.3">
      <c r="D793" s="3"/>
      <c r="E793" s="3"/>
      <c r="F793" s="3"/>
      <c r="G793" s="3"/>
      <c r="H793" s="3"/>
      <c r="I793" s="3"/>
      <c r="J793" s="92"/>
    </row>
    <row r="794" spans="4:10" ht="15.75" customHeight="1" x14ac:dyDescent="0.3">
      <c r="D794" s="3"/>
      <c r="E794" s="3"/>
      <c r="F794" s="3"/>
      <c r="G794" s="3"/>
      <c r="H794" s="3"/>
      <c r="I794" s="3"/>
      <c r="J794" s="92"/>
    </row>
    <row r="795" spans="4:10" ht="15.75" customHeight="1" x14ac:dyDescent="0.3">
      <c r="D795" s="3"/>
      <c r="E795" s="3"/>
      <c r="F795" s="3"/>
      <c r="G795" s="3"/>
      <c r="H795" s="3"/>
      <c r="I795" s="3"/>
      <c r="J795" s="92"/>
    </row>
    <row r="796" spans="4:10" ht="15.75" customHeight="1" x14ac:dyDescent="0.3">
      <c r="D796" s="3"/>
      <c r="E796" s="3"/>
      <c r="F796" s="3"/>
      <c r="G796" s="3"/>
      <c r="H796" s="3"/>
      <c r="I796" s="3"/>
      <c r="J796" s="92"/>
    </row>
    <row r="797" spans="4:10" ht="15.75" customHeight="1" x14ac:dyDescent="0.3">
      <c r="D797" s="3"/>
      <c r="E797" s="3"/>
      <c r="F797" s="3"/>
      <c r="G797" s="3"/>
      <c r="H797" s="3"/>
      <c r="I797" s="3"/>
      <c r="J797" s="92"/>
    </row>
    <row r="798" spans="4:10" ht="15.75" customHeight="1" x14ac:dyDescent="0.3">
      <c r="D798" s="3"/>
      <c r="E798" s="3"/>
      <c r="F798" s="3"/>
      <c r="G798" s="3"/>
      <c r="H798" s="3"/>
      <c r="I798" s="3"/>
      <c r="J798" s="92"/>
    </row>
    <row r="799" spans="4:10" ht="15.75" customHeight="1" x14ac:dyDescent="0.3">
      <c r="D799" s="3"/>
      <c r="E799" s="3"/>
      <c r="F799" s="3"/>
      <c r="G799" s="3"/>
      <c r="H799" s="3"/>
      <c r="I799" s="3"/>
      <c r="J799" s="92"/>
    </row>
    <row r="800" spans="4:10" ht="15.75" customHeight="1" x14ac:dyDescent="0.3">
      <c r="D800" s="3"/>
      <c r="E800" s="3"/>
      <c r="F800" s="3"/>
      <c r="G800" s="3"/>
      <c r="H800" s="3"/>
      <c r="I800" s="3"/>
      <c r="J800" s="92"/>
    </row>
    <row r="801" spans="4:10" ht="15.75" customHeight="1" x14ac:dyDescent="0.3">
      <c r="D801" s="3"/>
      <c r="E801" s="3"/>
      <c r="F801" s="3"/>
      <c r="G801" s="3"/>
      <c r="H801" s="3"/>
      <c r="I801" s="3"/>
      <c r="J801" s="92"/>
    </row>
    <row r="802" spans="4:10" ht="15.75" customHeight="1" x14ac:dyDescent="0.3">
      <c r="D802" s="3"/>
      <c r="E802" s="3"/>
      <c r="F802" s="3"/>
      <c r="G802" s="3"/>
      <c r="H802" s="3"/>
      <c r="I802" s="3"/>
      <c r="J802" s="92"/>
    </row>
    <row r="803" spans="4:10" ht="15.75" customHeight="1" x14ac:dyDescent="0.3">
      <c r="D803" s="3"/>
      <c r="E803" s="3"/>
      <c r="F803" s="3"/>
      <c r="G803" s="3"/>
      <c r="H803" s="3"/>
      <c r="I803" s="3"/>
      <c r="J803" s="92"/>
    </row>
    <row r="804" spans="4:10" ht="15.75" customHeight="1" x14ac:dyDescent="0.3">
      <c r="D804" s="3"/>
      <c r="E804" s="3"/>
      <c r="F804" s="3"/>
      <c r="G804" s="3"/>
      <c r="H804" s="3"/>
      <c r="I804" s="3"/>
      <c r="J804" s="92"/>
    </row>
    <row r="805" spans="4:10" ht="15.75" customHeight="1" x14ac:dyDescent="0.3">
      <c r="D805" s="3"/>
      <c r="E805" s="3"/>
      <c r="F805" s="3"/>
      <c r="G805" s="3"/>
      <c r="H805" s="3"/>
      <c r="I805" s="3"/>
      <c r="J805" s="92"/>
    </row>
    <row r="806" spans="4:10" ht="15.75" customHeight="1" x14ac:dyDescent="0.3">
      <c r="D806" s="3"/>
      <c r="E806" s="3"/>
      <c r="F806" s="3"/>
      <c r="G806" s="3"/>
      <c r="H806" s="3"/>
      <c r="I806" s="3"/>
      <c r="J806" s="92"/>
    </row>
    <row r="807" spans="4:10" ht="15.75" customHeight="1" x14ac:dyDescent="0.3">
      <c r="D807" s="3"/>
      <c r="E807" s="3"/>
      <c r="F807" s="3"/>
      <c r="G807" s="3"/>
      <c r="H807" s="3"/>
      <c r="I807" s="3"/>
      <c r="J807" s="92"/>
    </row>
    <row r="808" spans="4:10" ht="15.75" customHeight="1" x14ac:dyDescent="0.3">
      <c r="D808" s="3"/>
      <c r="E808" s="3"/>
      <c r="F808" s="3"/>
      <c r="G808" s="3"/>
      <c r="H808" s="3"/>
      <c r="I808" s="3"/>
      <c r="J808" s="92"/>
    </row>
    <row r="809" spans="4:10" ht="15.75" customHeight="1" x14ac:dyDescent="0.3">
      <c r="D809" s="3"/>
      <c r="E809" s="3"/>
      <c r="F809" s="3"/>
      <c r="G809" s="3"/>
      <c r="H809" s="3"/>
      <c r="I809" s="3"/>
      <c r="J809" s="92"/>
    </row>
    <row r="810" spans="4:10" ht="15.75" customHeight="1" x14ac:dyDescent="0.3">
      <c r="D810" s="3"/>
      <c r="E810" s="3"/>
      <c r="F810" s="3"/>
      <c r="G810" s="3"/>
      <c r="H810" s="3"/>
      <c r="I810" s="3"/>
      <c r="J810" s="92"/>
    </row>
    <row r="811" spans="4:10" ht="15.75" customHeight="1" x14ac:dyDescent="0.3">
      <c r="D811" s="3"/>
      <c r="E811" s="3"/>
      <c r="F811" s="3"/>
      <c r="G811" s="3"/>
      <c r="H811" s="3"/>
      <c r="I811" s="3"/>
      <c r="J811" s="92"/>
    </row>
    <row r="812" spans="4:10" ht="15.75" customHeight="1" x14ac:dyDescent="0.3">
      <c r="D812" s="3"/>
      <c r="E812" s="3"/>
      <c r="F812" s="3"/>
      <c r="G812" s="3"/>
      <c r="H812" s="3"/>
      <c r="I812" s="3"/>
      <c r="J812" s="92"/>
    </row>
    <row r="813" spans="4:10" ht="15.75" customHeight="1" x14ac:dyDescent="0.3">
      <c r="D813" s="3"/>
      <c r="E813" s="3"/>
      <c r="F813" s="3"/>
      <c r="G813" s="3"/>
      <c r="H813" s="3"/>
      <c r="I813" s="3"/>
      <c r="J813" s="92"/>
    </row>
    <row r="814" spans="4:10" ht="15.75" customHeight="1" x14ac:dyDescent="0.3">
      <c r="D814" s="3"/>
      <c r="E814" s="3"/>
      <c r="F814" s="3"/>
      <c r="G814" s="3"/>
      <c r="H814" s="3"/>
      <c r="I814" s="3"/>
      <c r="J814" s="92"/>
    </row>
    <row r="815" spans="4:10" ht="15.75" customHeight="1" x14ac:dyDescent="0.3">
      <c r="D815" s="3"/>
      <c r="E815" s="3"/>
      <c r="F815" s="3"/>
      <c r="G815" s="3"/>
      <c r="H815" s="3"/>
      <c r="I815" s="3"/>
      <c r="J815" s="92"/>
    </row>
    <row r="816" spans="4:10" ht="15.75" customHeight="1" x14ac:dyDescent="0.3">
      <c r="D816" s="3"/>
      <c r="E816" s="3"/>
      <c r="F816" s="3"/>
      <c r="G816" s="3"/>
      <c r="H816" s="3"/>
      <c r="I816" s="3"/>
      <c r="J816" s="92"/>
    </row>
    <row r="817" spans="4:10" ht="15.75" customHeight="1" x14ac:dyDescent="0.3">
      <c r="D817" s="3"/>
      <c r="E817" s="3"/>
      <c r="F817" s="3"/>
      <c r="G817" s="3"/>
      <c r="H817" s="3"/>
      <c r="I817" s="3"/>
      <c r="J817" s="92"/>
    </row>
    <row r="818" spans="4:10" ht="15.75" customHeight="1" x14ac:dyDescent="0.3">
      <c r="D818" s="3"/>
      <c r="E818" s="3"/>
      <c r="F818" s="3"/>
      <c r="G818" s="3"/>
      <c r="H818" s="3"/>
      <c r="I818" s="3"/>
      <c r="J818" s="92"/>
    </row>
    <row r="819" spans="4:10" ht="15.75" customHeight="1" x14ac:dyDescent="0.3">
      <c r="D819" s="3"/>
      <c r="E819" s="3"/>
      <c r="F819" s="3"/>
      <c r="G819" s="3"/>
      <c r="H819" s="3"/>
      <c r="I819" s="3"/>
      <c r="J819" s="92"/>
    </row>
    <row r="820" spans="4:10" ht="15.75" customHeight="1" x14ac:dyDescent="0.3">
      <c r="D820" s="3"/>
      <c r="E820" s="3"/>
      <c r="F820" s="3"/>
      <c r="G820" s="3"/>
      <c r="H820" s="3"/>
      <c r="I820" s="3"/>
      <c r="J820" s="92"/>
    </row>
    <row r="821" spans="4:10" ht="15.75" customHeight="1" x14ac:dyDescent="0.3">
      <c r="D821" s="3"/>
      <c r="E821" s="3"/>
      <c r="F821" s="3"/>
      <c r="G821" s="3"/>
      <c r="H821" s="3"/>
      <c r="I821" s="3"/>
      <c r="J821" s="92"/>
    </row>
    <row r="822" spans="4:10" ht="15.75" customHeight="1" x14ac:dyDescent="0.3">
      <c r="D822" s="3"/>
      <c r="E822" s="3"/>
      <c r="F822" s="3"/>
      <c r="G822" s="3"/>
      <c r="H822" s="3"/>
      <c r="I822" s="3"/>
      <c r="J822" s="92"/>
    </row>
    <row r="823" spans="4:10" ht="15.75" customHeight="1" x14ac:dyDescent="0.3">
      <c r="D823" s="3"/>
      <c r="E823" s="3"/>
      <c r="F823" s="3"/>
      <c r="G823" s="3"/>
      <c r="H823" s="3"/>
      <c r="I823" s="3"/>
      <c r="J823" s="92"/>
    </row>
    <row r="824" spans="4:10" ht="15.75" customHeight="1" x14ac:dyDescent="0.3">
      <c r="D824" s="3"/>
      <c r="E824" s="3"/>
      <c r="F824" s="3"/>
      <c r="G824" s="3"/>
      <c r="H824" s="3"/>
      <c r="I824" s="3"/>
      <c r="J824" s="92"/>
    </row>
    <row r="825" spans="4:10" ht="15.75" customHeight="1" x14ac:dyDescent="0.3">
      <c r="D825" s="3"/>
      <c r="E825" s="3"/>
      <c r="F825" s="3"/>
      <c r="G825" s="3"/>
      <c r="H825" s="3"/>
      <c r="I825" s="3"/>
      <c r="J825" s="92"/>
    </row>
    <row r="826" spans="4:10" ht="15.75" customHeight="1" x14ac:dyDescent="0.3">
      <c r="D826" s="3"/>
      <c r="E826" s="3"/>
      <c r="F826" s="3"/>
      <c r="G826" s="3"/>
      <c r="H826" s="3"/>
      <c r="I826" s="3"/>
      <c r="J826" s="92"/>
    </row>
    <row r="827" spans="4:10" ht="15.75" customHeight="1" x14ac:dyDescent="0.3">
      <c r="D827" s="3"/>
      <c r="E827" s="3"/>
      <c r="F827" s="3"/>
      <c r="G827" s="3"/>
      <c r="H827" s="3"/>
      <c r="I827" s="3"/>
      <c r="J827" s="92"/>
    </row>
    <row r="828" spans="4:10" ht="15.75" customHeight="1" x14ac:dyDescent="0.3">
      <c r="D828" s="3"/>
      <c r="E828" s="3"/>
      <c r="F828" s="3"/>
      <c r="G828" s="3"/>
      <c r="H828" s="3"/>
      <c r="I828" s="3"/>
      <c r="J828" s="92"/>
    </row>
    <row r="829" spans="4:10" ht="15.75" customHeight="1" x14ac:dyDescent="0.3">
      <c r="D829" s="3"/>
      <c r="E829" s="3"/>
      <c r="F829" s="3"/>
      <c r="G829" s="3"/>
      <c r="H829" s="3"/>
      <c r="I829" s="3"/>
      <c r="J829" s="92"/>
    </row>
    <row r="830" spans="4:10" ht="15.75" customHeight="1" x14ac:dyDescent="0.3">
      <c r="D830" s="3"/>
      <c r="E830" s="3"/>
      <c r="F830" s="3"/>
      <c r="G830" s="3"/>
      <c r="H830" s="3"/>
      <c r="I830" s="3"/>
      <c r="J830" s="92"/>
    </row>
    <row r="831" spans="4:10" ht="15.75" customHeight="1" x14ac:dyDescent="0.3">
      <c r="D831" s="3"/>
      <c r="E831" s="3"/>
      <c r="F831" s="3"/>
      <c r="G831" s="3"/>
      <c r="H831" s="3"/>
      <c r="I831" s="3"/>
      <c r="J831" s="92"/>
    </row>
    <row r="832" spans="4:10" ht="15.75" customHeight="1" x14ac:dyDescent="0.3">
      <c r="D832" s="3"/>
      <c r="E832" s="3"/>
      <c r="F832" s="3"/>
      <c r="G832" s="3"/>
      <c r="H832" s="3"/>
      <c r="I832" s="3"/>
      <c r="J832" s="92"/>
    </row>
    <row r="833" spans="4:10" ht="15.75" customHeight="1" x14ac:dyDescent="0.3">
      <c r="D833" s="3"/>
      <c r="E833" s="3"/>
      <c r="F833" s="3"/>
      <c r="G833" s="3"/>
      <c r="H833" s="3"/>
      <c r="I833" s="3"/>
      <c r="J833" s="92"/>
    </row>
    <row r="834" spans="4:10" ht="15.75" customHeight="1" x14ac:dyDescent="0.3">
      <c r="D834" s="3"/>
      <c r="E834" s="3"/>
      <c r="F834" s="3"/>
      <c r="G834" s="3"/>
      <c r="H834" s="3"/>
      <c r="I834" s="3"/>
      <c r="J834" s="92"/>
    </row>
    <row r="835" spans="4:10" ht="15.75" customHeight="1" x14ac:dyDescent="0.3">
      <c r="D835" s="3"/>
      <c r="E835" s="3"/>
      <c r="F835" s="3"/>
      <c r="G835" s="3"/>
      <c r="H835" s="3"/>
      <c r="I835" s="3"/>
      <c r="J835" s="92"/>
    </row>
    <row r="836" spans="4:10" ht="15.75" customHeight="1" x14ac:dyDescent="0.3">
      <c r="D836" s="3"/>
      <c r="E836" s="3"/>
      <c r="F836" s="3"/>
      <c r="G836" s="3"/>
      <c r="H836" s="3"/>
      <c r="I836" s="3"/>
      <c r="J836" s="92"/>
    </row>
    <row r="837" spans="4:10" ht="15.75" customHeight="1" x14ac:dyDescent="0.3">
      <c r="D837" s="3"/>
      <c r="E837" s="3"/>
      <c r="F837" s="3"/>
      <c r="G837" s="3"/>
      <c r="H837" s="3"/>
      <c r="I837" s="3"/>
      <c r="J837" s="92"/>
    </row>
    <row r="838" spans="4:10" ht="15.75" customHeight="1" x14ac:dyDescent="0.3">
      <c r="D838" s="3"/>
      <c r="E838" s="3"/>
      <c r="F838" s="3"/>
      <c r="G838" s="3"/>
      <c r="H838" s="3"/>
      <c r="I838" s="3"/>
      <c r="J838" s="92"/>
    </row>
    <row r="839" spans="4:10" ht="15.75" customHeight="1" x14ac:dyDescent="0.3">
      <c r="D839" s="3"/>
      <c r="E839" s="3"/>
      <c r="F839" s="3"/>
      <c r="G839" s="3"/>
      <c r="H839" s="3"/>
      <c r="I839" s="3"/>
      <c r="J839" s="92"/>
    </row>
    <row r="840" spans="4:10" ht="15.75" customHeight="1" x14ac:dyDescent="0.3">
      <c r="D840" s="3"/>
      <c r="E840" s="3"/>
      <c r="F840" s="3"/>
      <c r="G840" s="3"/>
      <c r="H840" s="3"/>
      <c r="I840" s="3"/>
      <c r="J840" s="92"/>
    </row>
    <row r="841" spans="4:10" ht="15.75" customHeight="1" x14ac:dyDescent="0.3">
      <c r="D841" s="3"/>
      <c r="E841" s="3"/>
      <c r="F841" s="3"/>
      <c r="G841" s="3"/>
      <c r="H841" s="3"/>
      <c r="I841" s="3"/>
      <c r="J841" s="92"/>
    </row>
    <row r="842" spans="4:10" ht="15.75" customHeight="1" x14ac:dyDescent="0.3">
      <c r="D842" s="3"/>
      <c r="E842" s="3"/>
      <c r="F842" s="3"/>
      <c r="G842" s="3"/>
      <c r="H842" s="3"/>
      <c r="I842" s="3"/>
      <c r="J842" s="92"/>
    </row>
    <row r="843" spans="4:10" ht="15.75" customHeight="1" x14ac:dyDescent="0.3">
      <c r="D843" s="3"/>
      <c r="E843" s="3"/>
      <c r="F843" s="3"/>
      <c r="G843" s="3"/>
      <c r="H843" s="3"/>
      <c r="I843" s="3"/>
      <c r="J843" s="92"/>
    </row>
    <row r="844" spans="4:10" ht="15.75" customHeight="1" x14ac:dyDescent="0.3">
      <c r="D844" s="3"/>
      <c r="E844" s="3"/>
      <c r="F844" s="3"/>
      <c r="G844" s="3"/>
      <c r="H844" s="3"/>
      <c r="I844" s="3"/>
      <c r="J844" s="92"/>
    </row>
    <row r="845" spans="4:10" ht="15.75" customHeight="1" x14ac:dyDescent="0.3">
      <c r="D845" s="3"/>
      <c r="E845" s="3"/>
      <c r="F845" s="3"/>
      <c r="G845" s="3"/>
      <c r="H845" s="3"/>
      <c r="I845" s="3"/>
      <c r="J845" s="92"/>
    </row>
    <row r="846" spans="4:10" ht="15.75" customHeight="1" x14ac:dyDescent="0.3">
      <c r="D846" s="3"/>
      <c r="E846" s="3"/>
      <c r="F846" s="3"/>
      <c r="G846" s="3"/>
      <c r="H846" s="3"/>
      <c r="I846" s="3"/>
      <c r="J846" s="92"/>
    </row>
    <row r="847" spans="4:10" ht="15.75" customHeight="1" x14ac:dyDescent="0.3">
      <c r="D847" s="3"/>
      <c r="E847" s="3"/>
      <c r="F847" s="3"/>
      <c r="G847" s="3"/>
      <c r="H847" s="3"/>
      <c r="I847" s="3"/>
      <c r="J847" s="92"/>
    </row>
    <row r="848" spans="4:10" ht="15.75" customHeight="1" x14ac:dyDescent="0.3">
      <c r="D848" s="3"/>
      <c r="E848" s="3"/>
      <c r="F848" s="3"/>
      <c r="G848" s="3"/>
      <c r="H848" s="3"/>
      <c r="I848" s="3"/>
      <c r="J848" s="92"/>
    </row>
    <row r="849" spans="4:10" ht="15.75" customHeight="1" x14ac:dyDescent="0.3">
      <c r="D849" s="3"/>
      <c r="E849" s="3"/>
      <c r="F849" s="3"/>
      <c r="G849" s="3"/>
      <c r="H849" s="3"/>
      <c r="I849" s="3"/>
      <c r="J849" s="92"/>
    </row>
    <row r="850" spans="4:10" ht="15.75" customHeight="1" x14ac:dyDescent="0.3">
      <c r="D850" s="3"/>
      <c r="E850" s="3"/>
      <c r="F850" s="3"/>
      <c r="G850" s="3"/>
      <c r="H850" s="3"/>
      <c r="I850" s="3"/>
      <c r="J850" s="92"/>
    </row>
    <row r="851" spans="4:10" ht="15.75" customHeight="1" x14ac:dyDescent="0.3">
      <c r="D851" s="3"/>
      <c r="E851" s="3"/>
      <c r="F851" s="3"/>
      <c r="G851" s="3"/>
      <c r="H851" s="3"/>
      <c r="I851" s="3"/>
      <c r="J851" s="92"/>
    </row>
    <row r="852" spans="4:10" ht="15.75" customHeight="1" x14ac:dyDescent="0.3">
      <c r="D852" s="3"/>
      <c r="E852" s="3"/>
      <c r="F852" s="3"/>
      <c r="G852" s="3"/>
      <c r="H852" s="3"/>
      <c r="I852" s="3"/>
      <c r="J852" s="92"/>
    </row>
    <row r="853" spans="4:10" ht="15.75" customHeight="1" x14ac:dyDescent="0.3">
      <c r="D853" s="3"/>
      <c r="E853" s="3"/>
      <c r="F853" s="3"/>
      <c r="G853" s="3"/>
      <c r="H853" s="3"/>
      <c r="I853" s="3"/>
      <c r="J853" s="92"/>
    </row>
    <row r="854" spans="4:10" ht="15.75" customHeight="1" x14ac:dyDescent="0.3">
      <c r="D854" s="3"/>
      <c r="E854" s="3"/>
      <c r="F854" s="3"/>
      <c r="G854" s="3"/>
      <c r="H854" s="3"/>
      <c r="I854" s="3"/>
      <c r="J854" s="92"/>
    </row>
    <row r="855" spans="4:10" ht="15.75" customHeight="1" x14ac:dyDescent="0.3">
      <c r="D855" s="3"/>
      <c r="E855" s="3"/>
      <c r="F855" s="3"/>
      <c r="G855" s="3"/>
      <c r="H855" s="3"/>
      <c r="I855" s="3"/>
      <c r="J855" s="92"/>
    </row>
    <row r="856" spans="4:10" ht="15.75" customHeight="1" x14ac:dyDescent="0.3">
      <c r="D856" s="3"/>
      <c r="E856" s="3"/>
      <c r="F856" s="3"/>
      <c r="G856" s="3"/>
      <c r="H856" s="3"/>
      <c r="I856" s="3"/>
      <c r="J856" s="92"/>
    </row>
    <row r="857" spans="4:10" ht="15.75" customHeight="1" x14ac:dyDescent="0.3">
      <c r="D857" s="3"/>
      <c r="E857" s="3"/>
      <c r="F857" s="3"/>
      <c r="G857" s="3"/>
      <c r="H857" s="3"/>
      <c r="I857" s="3"/>
      <c r="J857" s="92"/>
    </row>
    <row r="858" spans="4:10" ht="15.75" customHeight="1" x14ac:dyDescent="0.3">
      <c r="D858" s="3"/>
      <c r="E858" s="3"/>
      <c r="F858" s="3"/>
      <c r="G858" s="3"/>
      <c r="H858" s="3"/>
      <c r="I858" s="3"/>
      <c r="J858" s="92"/>
    </row>
    <row r="859" spans="4:10" ht="15.75" customHeight="1" x14ac:dyDescent="0.3">
      <c r="D859" s="3"/>
      <c r="E859" s="3"/>
      <c r="F859" s="3"/>
      <c r="G859" s="3"/>
      <c r="H859" s="3"/>
      <c r="I859" s="3"/>
      <c r="J859" s="92"/>
    </row>
    <row r="860" spans="4:10" ht="15.75" customHeight="1" x14ac:dyDescent="0.3">
      <c r="D860" s="3"/>
      <c r="E860" s="3"/>
      <c r="F860" s="3"/>
      <c r="G860" s="3"/>
      <c r="H860" s="3"/>
      <c r="I860" s="3"/>
      <c r="J860" s="92"/>
    </row>
    <row r="861" spans="4:10" ht="15.75" customHeight="1" x14ac:dyDescent="0.3">
      <c r="D861" s="3"/>
      <c r="E861" s="3"/>
      <c r="F861" s="3"/>
      <c r="G861" s="3"/>
      <c r="H861" s="3"/>
      <c r="I861" s="3"/>
      <c r="J861" s="92"/>
    </row>
    <row r="862" spans="4:10" ht="15.75" customHeight="1" x14ac:dyDescent="0.3">
      <c r="D862" s="3"/>
      <c r="E862" s="3"/>
      <c r="F862" s="3"/>
      <c r="G862" s="3"/>
      <c r="H862" s="3"/>
      <c r="I862" s="3"/>
      <c r="J862" s="92"/>
    </row>
    <row r="863" spans="4:10" ht="15.75" customHeight="1" x14ac:dyDescent="0.3">
      <c r="D863" s="3"/>
      <c r="E863" s="3"/>
      <c r="F863" s="3"/>
      <c r="G863" s="3"/>
      <c r="H863" s="3"/>
      <c r="I863" s="3"/>
      <c r="J863" s="92"/>
    </row>
    <row r="864" spans="4:10" ht="15.75" customHeight="1" x14ac:dyDescent="0.3">
      <c r="D864" s="3"/>
      <c r="E864" s="3"/>
      <c r="F864" s="3"/>
      <c r="G864" s="3"/>
      <c r="H864" s="3"/>
      <c r="I864" s="3"/>
      <c r="J864" s="92"/>
    </row>
    <row r="865" spans="4:10" ht="15.75" customHeight="1" x14ac:dyDescent="0.3">
      <c r="D865" s="3"/>
      <c r="E865" s="3"/>
      <c r="F865" s="3"/>
      <c r="G865" s="3"/>
      <c r="H865" s="3"/>
      <c r="I865" s="3"/>
      <c r="J865" s="92"/>
    </row>
    <row r="866" spans="4:10" ht="15.75" customHeight="1" x14ac:dyDescent="0.3">
      <c r="D866" s="3"/>
      <c r="E866" s="3"/>
      <c r="F866" s="3"/>
      <c r="G866" s="3"/>
      <c r="H866" s="3"/>
      <c r="I866" s="3"/>
      <c r="J866" s="92"/>
    </row>
    <row r="867" spans="4:10" ht="15.75" customHeight="1" x14ac:dyDescent="0.3">
      <c r="D867" s="3"/>
      <c r="E867" s="3"/>
      <c r="F867" s="3"/>
      <c r="G867" s="3"/>
      <c r="H867" s="3"/>
      <c r="I867" s="3"/>
      <c r="J867" s="92"/>
    </row>
    <row r="868" spans="4:10" ht="15.75" customHeight="1" x14ac:dyDescent="0.3">
      <c r="D868" s="3"/>
      <c r="E868" s="3"/>
      <c r="F868" s="3"/>
      <c r="G868" s="3"/>
      <c r="H868" s="3"/>
      <c r="I868" s="3"/>
      <c r="J868" s="92"/>
    </row>
    <row r="869" spans="4:10" ht="15.75" customHeight="1" x14ac:dyDescent="0.3">
      <c r="D869" s="3"/>
      <c r="E869" s="3"/>
      <c r="F869" s="3"/>
      <c r="G869" s="3"/>
      <c r="H869" s="3"/>
      <c r="I869" s="3"/>
      <c r="J869" s="92"/>
    </row>
    <row r="870" spans="4:10" ht="15.75" customHeight="1" x14ac:dyDescent="0.3">
      <c r="D870" s="3"/>
      <c r="E870" s="3"/>
      <c r="F870" s="3"/>
      <c r="G870" s="3"/>
      <c r="H870" s="3"/>
      <c r="I870" s="3"/>
      <c r="J870" s="92"/>
    </row>
    <row r="871" spans="4:10" ht="15.75" customHeight="1" x14ac:dyDescent="0.3">
      <c r="D871" s="3"/>
      <c r="E871" s="3"/>
      <c r="F871" s="3"/>
      <c r="G871" s="3"/>
      <c r="H871" s="3"/>
      <c r="I871" s="3"/>
      <c r="J871" s="92"/>
    </row>
    <row r="872" spans="4:10" ht="15.75" customHeight="1" x14ac:dyDescent="0.3">
      <c r="D872" s="3"/>
      <c r="E872" s="3"/>
      <c r="F872" s="3"/>
      <c r="G872" s="3"/>
      <c r="H872" s="3"/>
      <c r="I872" s="3"/>
      <c r="J872" s="92"/>
    </row>
    <row r="873" spans="4:10" ht="15.75" customHeight="1" x14ac:dyDescent="0.3">
      <c r="D873" s="3"/>
      <c r="E873" s="3"/>
      <c r="F873" s="3"/>
      <c r="G873" s="3"/>
      <c r="H873" s="3"/>
      <c r="I873" s="3"/>
      <c r="J873" s="92"/>
    </row>
    <row r="874" spans="4:10" ht="15.75" customHeight="1" x14ac:dyDescent="0.3">
      <c r="D874" s="3"/>
      <c r="E874" s="3"/>
      <c r="F874" s="3"/>
      <c r="G874" s="3"/>
      <c r="H874" s="3"/>
      <c r="I874" s="3"/>
      <c r="J874" s="92"/>
    </row>
    <row r="875" spans="4:10" ht="15.75" customHeight="1" x14ac:dyDescent="0.3">
      <c r="D875" s="3"/>
      <c r="E875" s="3"/>
      <c r="F875" s="3"/>
      <c r="G875" s="3"/>
      <c r="H875" s="3"/>
      <c r="I875" s="3"/>
      <c r="J875" s="92"/>
    </row>
    <row r="876" spans="4:10" ht="15.75" customHeight="1" x14ac:dyDescent="0.3">
      <c r="D876" s="3"/>
      <c r="E876" s="3"/>
      <c r="F876" s="3"/>
      <c r="G876" s="3"/>
      <c r="H876" s="3"/>
      <c r="I876" s="3"/>
      <c r="J876" s="92"/>
    </row>
    <row r="877" spans="4:10" ht="15.75" customHeight="1" x14ac:dyDescent="0.3">
      <c r="D877" s="3"/>
      <c r="E877" s="3"/>
      <c r="F877" s="3"/>
      <c r="G877" s="3"/>
      <c r="H877" s="3"/>
      <c r="I877" s="3"/>
      <c r="J877" s="92"/>
    </row>
    <row r="878" spans="4:10" ht="15.75" customHeight="1" x14ac:dyDescent="0.3">
      <c r="D878" s="3"/>
      <c r="E878" s="3"/>
      <c r="F878" s="3"/>
      <c r="G878" s="3"/>
      <c r="H878" s="3"/>
      <c r="I878" s="3"/>
      <c r="J878" s="92"/>
    </row>
    <row r="879" spans="4:10" ht="15.75" customHeight="1" x14ac:dyDescent="0.3">
      <c r="D879" s="3"/>
      <c r="E879" s="3"/>
      <c r="F879" s="3"/>
      <c r="G879" s="3"/>
      <c r="H879" s="3"/>
      <c r="I879" s="3"/>
      <c r="J879" s="92"/>
    </row>
    <row r="880" spans="4:10" ht="15.75" customHeight="1" x14ac:dyDescent="0.3">
      <c r="D880" s="3"/>
      <c r="E880" s="3"/>
      <c r="F880" s="3"/>
      <c r="G880" s="3"/>
      <c r="H880" s="3"/>
      <c r="I880" s="3"/>
      <c r="J880" s="92"/>
    </row>
    <row r="881" spans="4:10" ht="15.75" customHeight="1" x14ac:dyDescent="0.3">
      <c r="D881" s="3"/>
      <c r="E881" s="3"/>
      <c r="F881" s="3"/>
      <c r="G881" s="3"/>
      <c r="H881" s="3"/>
      <c r="I881" s="3"/>
      <c r="J881" s="92"/>
    </row>
    <row r="882" spans="4:10" ht="15.75" customHeight="1" x14ac:dyDescent="0.3">
      <c r="D882" s="3"/>
      <c r="E882" s="3"/>
      <c r="F882" s="3"/>
      <c r="G882" s="3"/>
      <c r="H882" s="3"/>
      <c r="I882" s="3"/>
      <c r="J882" s="92"/>
    </row>
    <row r="883" spans="4:10" ht="15.75" customHeight="1" x14ac:dyDescent="0.3">
      <c r="D883" s="3"/>
      <c r="E883" s="3"/>
      <c r="F883" s="3"/>
      <c r="G883" s="3"/>
      <c r="H883" s="3"/>
      <c r="I883" s="3"/>
      <c r="J883" s="92"/>
    </row>
    <row r="884" spans="4:10" ht="15.75" customHeight="1" x14ac:dyDescent="0.3">
      <c r="D884" s="3"/>
      <c r="E884" s="3"/>
      <c r="F884" s="3"/>
      <c r="G884" s="3"/>
      <c r="H884" s="3"/>
      <c r="I884" s="3"/>
      <c r="J884" s="92"/>
    </row>
    <row r="885" spans="4:10" ht="15.75" customHeight="1" x14ac:dyDescent="0.3">
      <c r="D885" s="3"/>
      <c r="E885" s="3"/>
      <c r="F885" s="3"/>
      <c r="G885" s="3"/>
      <c r="H885" s="3"/>
      <c r="I885" s="3"/>
      <c r="J885" s="92"/>
    </row>
    <row r="886" spans="4:10" ht="15.75" customHeight="1" x14ac:dyDescent="0.3">
      <c r="D886" s="3"/>
      <c r="E886" s="3"/>
      <c r="F886" s="3"/>
      <c r="G886" s="3"/>
      <c r="H886" s="3"/>
      <c r="I886" s="3"/>
      <c r="J886" s="92"/>
    </row>
    <row r="887" spans="4:10" ht="15.75" customHeight="1" x14ac:dyDescent="0.3">
      <c r="D887" s="3"/>
      <c r="E887" s="3"/>
      <c r="F887" s="3"/>
      <c r="G887" s="3"/>
      <c r="H887" s="3"/>
      <c r="I887" s="3"/>
      <c r="J887" s="92"/>
    </row>
    <row r="888" spans="4:10" ht="15.75" customHeight="1" x14ac:dyDescent="0.3">
      <c r="D888" s="3"/>
      <c r="E888" s="3"/>
      <c r="F888" s="3"/>
      <c r="G888" s="3"/>
      <c r="H888" s="3"/>
      <c r="I888" s="3"/>
      <c r="J888" s="92"/>
    </row>
    <row r="889" spans="4:10" ht="15.75" customHeight="1" x14ac:dyDescent="0.3">
      <c r="D889" s="3"/>
      <c r="E889" s="3"/>
      <c r="F889" s="3"/>
      <c r="G889" s="3"/>
      <c r="H889" s="3"/>
      <c r="I889" s="3"/>
      <c r="J889" s="92"/>
    </row>
    <row r="890" spans="4:10" ht="15.75" customHeight="1" x14ac:dyDescent="0.3">
      <c r="D890" s="3"/>
      <c r="E890" s="3"/>
      <c r="F890" s="3"/>
      <c r="G890" s="3"/>
      <c r="H890" s="3"/>
      <c r="I890" s="3"/>
      <c r="J890" s="92"/>
    </row>
    <row r="891" spans="4:10" ht="15.75" customHeight="1" x14ac:dyDescent="0.3">
      <c r="D891" s="3"/>
      <c r="E891" s="3"/>
      <c r="F891" s="3"/>
      <c r="G891" s="3"/>
      <c r="H891" s="3"/>
      <c r="I891" s="3"/>
      <c r="J891" s="92"/>
    </row>
    <row r="892" spans="4:10" ht="15.75" customHeight="1" x14ac:dyDescent="0.3">
      <c r="D892" s="3"/>
      <c r="E892" s="3"/>
      <c r="F892" s="3"/>
      <c r="G892" s="3"/>
      <c r="H892" s="3"/>
      <c r="I892" s="3"/>
      <c r="J892" s="92"/>
    </row>
    <row r="893" spans="4:10" ht="15.75" customHeight="1" x14ac:dyDescent="0.3">
      <c r="D893" s="3"/>
      <c r="E893" s="3"/>
      <c r="F893" s="3"/>
      <c r="G893" s="3"/>
      <c r="H893" s="3"/>
      <c r="I893" s="3"/>
      <c r="J893" s="92"/>
    </row>
    <row r="894" spans="4:10" ht="15.75" customHeight="1" x14ac:dyDescent="0.3">
      <c r="D894" s="3"/>
      <c r="E894" s="3"/>
      <c r="F894" s="3"/>
      <c r="G894" s="3"/>
      <c r="H894" s="3"/>
      <c r="I894" s="3"/>
      <c r="J894" s="92"/>
    </row>
    <row r="895" spans="4:10" ht="15.75" customHeight="1" x14ac:dyDescent="0.3">
      <c r="D895" s="3"/>
      <c r="E895" s="3"/>
      <c r="F895" s="3"/>
      <c r="G895" s="3"/>
      <c r="H895" s="3"/>
      <c r="I895" s="3"/>
      <c r="J895" s="92"/>
    </row>
    <row r="896" spans="4:10" ht="15.75" customHeight="1" x14ac:dyDescent="0.3">
      <c r="D896" s="3"/>
      <c r="E896" s="3"/>
      <c r="F896" s="3"/>
      <c r="G896" s="3"/>
      <c r="H896" s="3"/>
      <c r="I896" s="3"/>
      <c r="J896" s="92"/>
    </row>
    <row r="897" spans="4:10" ht="15.75" customHeight="1" x14ac:dyDescent="0.3">
      <c r="D897" s="3"/>
      <c r="E897" s="3"/>
      <c r="F897" s="3"/>
      <c r="G897" s="3"/>
      <c r="H897" s="3"/>
      <c r="I897" s="3"/>
      <c r="J897" s="92"/>
    </row>
    <row r="898" spans="4:10" ht="15.75" customHeight="1" x14ac:dyDescent="0.3">
      <c r="D898" s="3"/>
      <c r="E898" s="3"/>
      <c r="F898" s="3"/>
      <c r="G898" s="3"/>
      <c r="H898" s="3"/>
      <c r="I898" s="3"/>
      <c r="J898" s="92"/>
    </row>
    <row r="899" spans="4:10" ht="15.75" customHeight="1" x14ac:dyDescent="0.3">
      <c r="D899" s="3"/>
      <c r="E899" s="3"/>
      <c r="F899" s="3"/>
      <c r="G899" s="3"/>
      <c r="H899" s="3"/>
      <c r="I899" s="3"/>
      <c r="J899" s="92"/>
    </row>
    <row r="900" spans="4:10" ht="15.75" customHeight="1" x14ac:dyDescent="0.3">
      <c r="D900" s="3"/>
      <c r="E900" s="3"/>
      <c r="F900" s="3"/>
      <c r="G900" s="3"/>
      <c r="H900" s="3"/>
      <c r="I900" s="3"/>
      <c r="J900" s="92"/>
    </row>
    <row r="901" spans="4:10" ht="15.75" customHeight="1" x14ac:dyDescent="0.3">
      <c r="D901" s="3"/>
      <c r="E901" s="3"/>
      <c r="F901" s="3"/>
      <c r="G901" s="3"/>
      <c r="H901" s="3"/>
      <c r="I901" s="3"/>
      <c r="J901" s="92"/>
    </row>
    <row r="902" spans="4:10" ht="15.75" customHeight="1" x14ac:dyDescent="0.3">
      <c r="D902" s="3"/>
      <c r="E902" s="3"/>
      <c r="F902" s="3"/>
      <c r="G902" s="3"/>
      <c r="H902" s="3"/>
      <c r="I902" s="3"/>
      <c r="J902" s="92"/>
    </row>
    <row r="903" spans="4:10" ht="15.75" customHeight="1" x14ac:dyDescent="0.3">
      <c r="D903" s="3"/>
      <c r="E903" s="3"/>
      <c r="F903" s="3"/>
      <c r="G903" s="3"/>
      <c r="H903" s="3"/>
      <c r="I903" s="3"/>
      <c r="J903" s="92"/>
    </row>
    <row r="904" spans="4:10" ht="15.75" customHeight="1" x14ac:dyDescent="0.3">
      <c r="D904" s="3"/>
      <c r="E904" s="3"/>
      <c r="F904" s="3"/>
      <c r="G904" s="3"/>
      <c r="H904" s="3"/>
      <c r="I904" s="3"/>
      <c r="J904" s="92"/>
    </row>
    <row r="905" spans="4:10" ht="15.75" customHeight="1" x14ac:dyDescent="0.3">
      <c r="D905" s="3"/>
      <c r="E905" s="3"/>
      <c r="F905" s="3"/>
      <c r="G905" s="3"/>
      <c r="H905" s="3"/>
      <c r="I905" s="3"/>
      <c r="J905" s="92"/>
    </row>
    <row r="906" spans="4:10" ht="15.75" customHeight="1" x14ac:dyDescent="0.3">
      <c r="D906" s="3"/>
      <c r="E906" s="3"/>
      <c r="F906" s="3"/>
      <c r="G906" s="3"/>
      <c r="H906" s="3"/>
      <c r="I906" s="3"/>
      <c r="J906" s="92"/>
    </row>
    <row r="907" spans="4:10" ht="15.75" customHeight="1" x14ac:dyDescent="0.3">
      <c r="D907" s="3"/>
      <c r="E907" s="3"/>
      <c r="F907" s="3"/>
      <c r="G907" s="3"/>
      <c r="H907" s="3"/>
      <c r="I907" s="3"/>
      <c r="J907" s="92"/>
    </row>
    <row r="908" spans="4:10" ht="15.75" customHeight="1" x14ac:dyDescent="0.3">
      <c r="D908" s="3"/>
      <c r="E908" s="3"/>
      <c r="F908" s="3"/>
      <c r="G908" s="3"/>
      <c r="H908" s="3"/>
      <c r="I908" s="3"/>
      <c r="J908" s="92"/>
    </row>
    <row r="909" spans="4:10" ht="15.75" customHeight="1" x14ac:dyDescent="0.3">
      <c r="D909" s="3"/>
      <c r="E909" s="3"/>
      <c r="F909" s="3"/>
      <c r="G909" s="3"/>
      <c r="H909" s="3"/>
      <c r="I909" s="3"/>
      <c r="J909" s="92"/>
    </row>
    <row r="910" spans="4:10" ht="15.75" customHeight="1" x14ac:dyDescent="0.3">
      <c r="D910" s="3"/>
      <c r="E910" s="3"/>
      <c r="F910" s="3"/>
      <c r="G910" s="3"/>
      <c r="H910" s="3"/>
      <c r="I910" s="3"/>
      <c r="J910" s="92"/>
    </row>
    <row r="911" spans="4:10" ht="15.75" customHeight="1" x14ac:dyDescent="0.3">
      <c r="D911" s="3"/>
      <c r="E911" s="3"/>
      <c r="F911" s="3"/>
      <c r="G911" s="3"/>
      <c r="H911" s="3"/>
      <c r="I911" s="3"/>
      <c r="J911" s="92"/>
    </row>
    <row r="912" spans="4:10" ht="15.75" customHeight="1" x14ac:dyDescent="0.3">
      <c r="D912" s="3"/>
      <c r="E912" s="3"/>
      <c r="F912" s="3"/>
      <c r="G912" s="3"/>
      <c r="H912" s="3"/>
      <c r="I912" s="3"/>
      <c r="J912" s="92"/>
    </row>
    <row r="913" spans="4:10" ht="15.75" customHeight="1" x14ac:dyDescent="0.3">
      <c r="D913" s="3"/>
      <c r="E913" s="3"/>
      <c r="F913" s="3"/>
      <c r="G913" s="3"/>
      <c r="H913" s="3"/>
      <c r="I913" s="3"/>
      <c r="J913" s="92"/>
    </row>
    <row r="914" spans="4:10" ht="15.75" customHeight="1" x14ac:dyDescent="0.3">
      <c r="D914" s="3"/>
      <c r="E914" s="3"/>
      <c r="F914" s="3"/>
      <c r="G914" s="3"/>
      <c r="H914" s="3"/>
      <c r="I914" s="3"/>
      <c r="J914" s="92"/>
    </row>
    <row r="915" spans="4:10" ht="15.75" customHeight="1" x14ac:dyDescent="0.3">
      <c r="D915" s="3"/>
      <c r="E915" s="3"/>
      <c r="F915" s="3"/>
      <c r="G915" s="3"/>
      <c r="H915" s="3"/>
      <c r="I915" s="3"/>
      <c r="J915" s="92"/>
    </row>
    <row r="916" spans="4:10" ht="15.75" customHeight="1" x14ac:dyDescent="0.3">
      <c r="D916" s="3"/>
      <c r="E916" s="3"/>
      <c r="F916" s="3"/>
      <c r="G916" s="3"/>
      <c r="H916" s="3"/>
      <c r="I916" s="3"/>
      <c r="J916" s="92"/>
    </row>
    <row r="917" spans="4:10" ht="15.75" customHeight="1" x14ac:dyDescent="0.3">
      <c r="D917" s="3"/>
      <c r="E917" s="3"/>
      <c r="F917" s="3"/>
      <c r="G917" s="3"/>
      <c r="H917" s="3"/>
      <c r="I917" s="3"/>
      <c r="J917" s="92"/>
    </row>
    <row r="918" spans="4:10" ht="15.75" customHeight="1" x14ac:dyDescent="0.3">
      <c r="D918" s="3"/>
      <c r="E918" s="3"/>
      <c r="F918" s="3"/>
      <c r="G918" s="3"/>
      <c r="H918" s="3"/>
      <c r="I918" s="3"/>
      <c r="J918" s="92"/>
    </row>
    <row r="919" spans="4:10" ht="15.75" customHeight="1" x14ac:dyDescent="0.3">
      <c r="D919" s="3"/>
      <c r="E919" s="3"/>
      <c r="F919" s="3"/>
      <c r="G919" s="3"/>
      <c r="H919" s="3"/>
      <c r="I919" s="3"/>
      <c r="J919" s="92"/>
    </row>
    <row r="920" spans="4:10" ht="15.75" customHeight="1" x14ac:dyDescent="0.3">
      <c r="D920" s="3"/>
      <c r="E920" s="3"/>
      <c r="F920" s="3"/>
      <c r="G920" s="3"/>
      <c r="H920" s="3"/>
      <c r="I920" s="3"/>
      <c r="J920" s="92"/>
    </row>
    <row r="921" spans="4:10" ht="15.75" customHeight="1" x14ac:dyDescent="0.3">
      <c r="D921" s="3"/>
      <c r="E921" s="3"/>
      <c r="F921" s="3"/>
      <c r="G921" s="3"/>
      <c r="H921" s="3"/>
      <c r="I921" s="3"/>
      <c r="J921" s="92"/>
    </row>
    <row r="922" spans="4:10" ht="15.75" customHeight="1" x14ac:dyDescent="0.3">
      <c r="D922" s="3"/>
      <c r="E922" s="3"/>
      <c r="F922" s="3"/>
      <c r="G922" s="3"/>
      <c r="H922" s="3"/>
      <c r="I922" s="3"/>
      <c r="J922" s="92"/>
    </row>
    <row r="923" spans="4:10" ht="15.75" customHeight="1" x14ac:dyDescent="0.3">
      <c r="D923" s="3"/>
      <c r="E923" s="3"/>
      <c r="F923" s="3"/>
      <c r="G923" s="3"/>
      <c r="H923" s="3"/>
      <c r="I923" s="3"/>
      <c r="J923" s="92"/>
    </row>
    <row r="924" spans="4:10" ht="15.75" customHeight="1" x14ac:dyDescent="0.3">
      <c r="D924" s="3"/>
      <c r="E924" s="3"/>
      <c r="F924" s="3"/>
      <c r="G924" s="3"/>
      <c r="H924" s="3"/>
      <c r="I924" s="3"/>
      <c r="J924" s="92"/>
    </row>
    <row r="925" spans="4:10" ht="15.75" customHeight="1" x14ac:dyDescent="0.3">
      <c r="D925" s="3"/>
      <c r="E925" s="3"/>
      <c r="F925" s="3"/>
      <c r="G925" s="3"/>
      <c r="H925" s="3"/>
      <c r="I925" s="3"/>
      <c r="J925" s="92"/>
    </row>
    <row r="926" spans="4:10" ht="15.75" customHeight="1" x14ac:dyDescent="0.3">
      <c r="D926" s="3"/>
      <c r="E926" s="3"/>
      <c r="F926" s="3"/>
      <c r="G926" s="3"/>
      <c r="H926" s="3"/>
      <c r="I926" s="3"/>
      <c r="J926" s="92"/>
    </row>
    <row r="927" spans="4:10" ht="15.75" customHeight="1" x14ac:dyDescent="0.3">
      <c r="D927" s="3"/>
      <c r="E927" s="3"/>
      <c r="F927" s="3"/>
      <c r="G927" s="3"/>
      <c r="H927" s="3"/>
      <c r="I927" s="3"/>
      <c r="J927" s="92"/>
    </row>
    <row r="928" spans="4:10" ht="15.75" customHeight="1" x14ac:dyDescent="0.3">
      <c r="D928" s="3"/>
      <c r="E928" s="3"/>
      <c r="F928" s="3"/>
      <c r="G928" s="3"/>
      <c r="H928" s="3"/>
      <c r="I928" s="3"/>
      <c r="J928" s="92"/>
    </row>
    <row r="929" spans="4:10" ht="15.75" customHeight="1" x14ac:dyDescent="0.3">
      <c r="D929" s="3"/>
      <c r="E929" s="3"/>
      <c r="F929" s="3"/>
      <c r="G929" s="3"/>
      <c r="H929" s="3"/>
      <c r="I929" s="3"/>
      <c r="J929" s="92"/>
    </row>
    <row r="930" spans="4:10" ht="15.75" customHeight="1" x14ac:dyDescent="0.3">
      <c r="D930" s="3"/>
      <c r="E930" s="3"/>
      <c r="F930" s="3"/>
      <c r="G930" s="3"/>
      <c r="H930" s="3"/>
      <c r="I930" s="3"/>
      <c r="J930" s="92"/>
    </row>
    <row r="931" spans="4:10" ht="15.75" customHeight="1" x14ac:dyDescent="0.3">
      <c r="D931" s="3"/>
      <c r="E931" s="3"/>
      <c r="F931" s="3"/>
      <c r="G931" s="3"/>
      <c r="H931" s="3"/>
      <c r="I931" s="3"/>
      <c r="J931" s="92"/>
    </row>
    <row r="932" spans="4:10" ht="15.75" customHeight="1" x14ac:dyDescent="0.3">
      <c r="D932" s="3"/>
      <c r="E932" s="3"/>
      <c r="F932" s="3"/>
      <c r="G932" s="3"/>
      <c r="H932" s="3"/>
      <c r="I932" s="3"/>
      <c r="J932" s="92"/>
    </row>
    <row r="933" spans="4:10" ht="15.75" customHeight="1" x14ac:dyDescent="0.3">
      <c r="D933" s="3"/>
      <c r="E933" s="3"/>
      <c r="F933" s="3"/>
      <c r="G933" s="3"/>
      <c r="H933" s="3"/>
      <c r="I933" s="3"/>
      <c r="J933" s="92"/>
    </row>
    <row r="934" spans="4:10" ht="15.75" customHeight="1" x14ac:dyDescent="0.3">
      <c r="D934" s="3"/>
      <c r="E934" s="3"/>
      <c r="F934" s="3"/>
      <c r="G934" s="3"/>
      <c r="H934" s="3"/>
      <c r="I934" s="3"/>
      <c r="J934" s="92"/>
    </row>
    <row r="935" spans="4:10" ht="15.75" customHeight="1" x14ac:dyDescent="0.3">
      <c r="D935" s="3"/>
      <c r="E935" s="3"/>
      <c r="F935" s="3"/>
      <c r="G935" s="3"/>
      <c r="H935" s="3"/>
      <c r="I935" s="3"/>
      <c r="J935" s="92"/>
    </row>
    <row r="936" spans="4:10" ht="15.75" customHeight="1" x14ac:dyDescent="0.3">
      <c r="D936" s="3"/>
      <c r="E936" s="3"/>
      <c r="F936" s="3"/>
      <c r="G936" s="3"/>
      <c r="H936" s="3"/>
      <c r="I936" s="3"/>
      <c r="J936" s="92"/>
    </row>
    <row r="937" spans="4:10" ht="15.75" customHeight="1" x14ac:dyDescent="0.3">
      <c r="D937" s="3"/>
      <c r="E937" s="3"/>
      <c r="F937" s="3"/>
      <c r="G937" s="3"/>
      <c r="H937" s="3"/>
      <c r="I937" s="3"/>
      <c r="J937" s="92"/>
    </row>
    <row r="938" spans="4:10" ht="15.75" customHeight="1" x14ac:dyDescent="0.3">
      <c r="D938" s="3"/>
      <c r="E938" s="3"/>
      <c r="F938" s="3"/>
      <c r="G938" s="3"/>
      <c r="H938" s="3"/>
      <c r="I938" s="3"/>
      <c r="J938" s="92"/>
    </row>
    <row r="939" spans="4:10" ht="15.75" customHeight="1" x14ac:dyDescent="0.3">
      <c r="D939" s="3"/>
      <c r="E939" s="3"/>
      <c r="F939" s="3"/>
      <c r="G939" s="3"/>
      <c r="H939" s="3"/>
      <c r="I939" s="3"/>
      <c r="J939" s="92"/>
    </row>
    <row r="940" spans="4:10" ht="15.75" customHeight="1" x14ac:dyDescent="0.3">
      <c r="D940" s="3"/>
      <c r="E940" s="3"/>
      <c r="F940" s="3"/>
      <c r="G940" s="3"/>
      <c r="H940" s="3"/>
      <c r="I940" s="3"/>
      <c r="J940" s="92"/>
    </row>
    <row r="941" spans="4:10" ht="15.75" customHeight="1" x14ac:dyDescent="0.3">
      <c r="D941" s="3"/>
      <c r="E941" s="3"/>
      <c r="F941" s="3"/>
      <c r="G941" s="3"/>
      <c r="H941" s="3"/>
      <c r="I941" s="3"/>
      <c r="J941" s="92"/>
    </row>
    <row r="942" spans="4:10" ht="15.75" customHeight="1" x14ac:dyDescent="0.3">
      <c r="D942" s="3"/>
      <c r="E942" s="3"/>
      <c r="F942" s="3"/>
      <c r="G942" s="3"/>
      <c r="H942" s="3"/>
      <c r="I942" s="3"/>
      <c r="J942" s="92"/>
    </row>
    <row r="943" spans="4:10" ht="15.75" customHeight="1" x14ac:dyDescent="0.3">
      <c r="D943" s="3"/>
      <c r="E943" s="3"/>
      <c r="F943" s="3"/>
      <c r="G943" s="3"/>
      <c r="H943" s="3"/>
      <c r="I943" s="3"/>
      <c r="J943" s="92"/>
    </row>
    <row r="944" spans="4:10" ht="15.75" customHeight="1" x14ac:dyDescent="0.3">
      <c r="D944" s="3"/>
      <c r="E944" s="3"/>
      <c r="F944" s="3"/>
      <c r="G944" s="3"/>
      <c r="H944" s="3"/>
      <c r="I944" s="3"/>
      <c r="J944" s="92"/>
    </row>
    <row r="945" spans="4:10" ht="15.75" customHeight="1" x14ac:dyDescent="0.3">
      <c r="D945" s="3"/>
      <c r="E945" s="3"/>
      <c r="F945" s="3"/>
      <c r="G945" s="3"/>
      <c r="H945" s="3"/>
      <c r="I945" s="3"/>
      <c r="J945" s="92"/>
    </row>
    <row r="946" spans="4:10" ht="15.75" customHeight="1" x14ac:dyDescent="0.3">
      <c r="D946" s="3"/>
      <c r="E946" s="3"/>
      <c r="F946" s="3"/>
      <c r="G946" s="3"/>
      <c r="H946" s="3"/>
      <c r="I946" s="3"/>
      <c r="J946" s="92"/>
    </row>
    <row r="947" spans="4:10" ht="15.75" customHeight="1" x14ac:dyDescent="0.3">
      <c r="D947" s="3"/>
      <c r="E947" s="3"/>
      <c r="F947" s="3"/>
      <c r="G947" s="3"/>
      <c r="H947" s="3"/>
      <c r="I947" s="3"/>
      <c r="J947" s="92"/>
    </row>
    <row r="948" spans="4:10" ht="15.75" customHeight="1" x14ac:dyDescent="0.3">
      <c r="D948" s="3"/>
      <c r="E948" s="3"/>
      <c r="F948" s="3"/>
      <c r="G948" s="3"/>
      <c r="H948" s="3"/>
      <c r="I948" s="3"/>
      <c r="J948" s="92"/>
    </row>
    <row r="949" spans="4:10" ht="15.75" customHeight="1" x14ac:dyDescent="0.3">
      <c r="D949" s="3"/>
      <c r="E949" s="3"/>
      <c r="F949" s="3"/>
      <c r="G949" s="3"/>
      <c r="H949" s="3"/>
      <c r="I949" s="3"/>
      <c r="J949" s="92"/>
    </row>
    <row r="950" spans="4:10" ht="15.75" customHeight="1" x14ac:dyDescent="0.3">
      <c r="D950" s="3"/>
      <c r="E950" s="3"/>
      <c r="F950" s="3"/>
      <c r="G950" s="3"/>
      <c r="H950" s="3"/>
      <c r="I950" s="3"/>
      <c r="J950" s="92"/>
    </row>
    <row r="951" spans="4:10" ht="15.75" customHeight="1" x14ac:dyDescent="0.3">
      <c r="D951" s="3"/>
      <c r="E951" s="3"/>
      <c r="F951" s="3"/>
      <c r="G951" s="3"/>
      <c r="H951" s="3"/>
      <c r="I951" s="3"/>
      <c r="J951" s="92"/>
    </row>
    <row r="952" spans="4:10" ht="15.75" customHeight="1" x14ac:dyDescent="0.3">
      <c r="D952" s="3"/>
      <c r="E952" s="3"/>
      <c r="F952" s="3"/>
      <c r="G952" s="3"/>
      <c r="H952" s="3"/>
      <c r="I952" s="3"/>
      <c r="J952" s="92"/>
    </row>
    <row r="953" spans="4:10" ht="15.75" customHeight="1" x14ac:dyDescent="0.3">
      <c r="D953" s="3"/>
      <c r="E953" s="3"/>
      <c r="F953" s="3"/>
      <c r="G953" s="3"/>
      <c r="H953" s="3"/>
      <c r="I953" s="3"/>
      <c r="J953" s="92"/>
    </row>
    <row r="954" spans="4:10" ht="15.75" customHeight="1" x14ac:dyDescent="0.3">
      <c r="D954" s="3"/>
      <c r="E954" s="3"/>
      <c r="F954" s="3"/>
      <c r="G954" s="3"/>
      <c r="H954" s="3"/>
      <c r="I954" s="3"/>
      <c r="J954" s="92"/>
    </row>
    <row r="955" spans="4:10" ht="15.75" customHeight="1" x14ac:dyDescent="0.3">
      <c r="D955" s="3"/>
      <c r="E955" s="3"/>
      <c r="F955" s="3"/>
      <c r="G955" s="3"/>
      <c r="H955" s="3"/>
      <c r="I955" s="3"/>
      <c r="J955" s="92"/>
    </row>
    <row r="956" spans="4:10" ht="15.75" customHeight="1" x14ac:dyDescent="0.3">
      <c r="D956" s="3"/>
      <c r="E956" s="3"/>
      <c r="F956" s="3"/>
      <c r="G956" s="3"/>
      <c r="H956" s="3"/>
      <c r="I956" s="3"/>
      <c r="J956" s="92"/>
    </row>
    <row r="957" spans="4:10" ht="15.75" customHeight="1" x14ac:dyDescent="0.3">
      <c r="D957" s="3"/>
      <c r="E957" s="3"/>
      <c r="F957" s="3"/>
      <c r="G957" s="3"/>
      <c r="H957" s="3"/>
      <c r="I957" s="3"/>
      <c r="J957" s="92"/>
    </row>
    <row r="958" spans="4:10" ht="15.75" customHeight="1" x14ac:dyDescent="0.3">
      <c r="D958" s="3"/>
      <c r="E958" s="3"/>
      <c r="F958" s="3"/>
      <c r="G958" s="3"/>
      <c r="H958" s="3"/>
      <c r="I958" s="3"/>
      <c r="J958" s="92"/>
    </row>
    <row r="959" spans="4:10" ht="15.75" customHeight="1" x14ac:dyDescent="0.3">
      <c r="D959" s="3"/>
      <c r="E959" s="3"/>
      <c r="F959" s="3"/>
      <c r="G959" s="3"/>
      <c r="H959" s="3"/>
      <c r="I959" s="3"/>
      <c r="J959" s="92"/>
    </row>
    <row r="960" spans="4:10" ht="15.75" customHeight="1" x14ac:dyDescent="0.3">
      <c r="D960" s="3"/>
      <c r="E960" s="3"/>
      <c r="F960" s="3"/>
      <c r="G960" s="3"/>
      <c r="H960" s="3"/>
      <c r="I960" s="3"/>
      <c r="J960" s="92"/>
    </row>
    <row r="961" spans="4:10" ht="15.75" customHeight="1" x14ac:dyDescent="0.3">
      <c r="D961" s="3"/>
      <c r="E961" s="3"/>
      <c r="F961" s="3"/>
      <c r="G961" s="3"/>
      <c r="H961" s="3"/>
      <c r="I961" s="3"/>
      <c r="J961" s="92"/>
    </row>
    <row r="962" spans="4:10" ht="15.75" customHeight="1" x14ac:dyDescent="0.3">
      <c r="D962" s="3"/>
      <c r="E962" s="3"/>
      <c r="F962" s="3"/>
      <c r="G962" s="3"/>
      <c r="H962" s="3"/>
      <c r="I962" s="3"/>
      <c r="J962" s="92"/>
    </row>
    <row r="963" spans="4:10" ht="15.75" customHeight="1" x14ac:dyDescent="0.3">
      <c r="D963" s="3"/>
      <c r="E963" s="3"/>
      <c r="F963" s="3"/>
      <c r="G963" s="3"/>
      <c r="H963" s="3"/>
      <c r="I963" s="3"/>
      <c r="J963" s="92"/>
    </row>
    <row r="964" spans="4:10" ht="15.75" customHeight="1" x14ac:dyDescent="0.3">
      <c r="D964" s="3"/>
      <c r="E964" s="3"/>
      <c r="F964" s="3"/>
      <c r="G964" s="3"/>
      <c r="H964" s="3"/>
      <c r="I964" s="3"/>
      <c r="J964" s="92"/>
    </row>
    <row r="965" spans="4:10" ht="15.75" customHeight="1" x14ac:dyDescent="0.3">
      <c r="D965" s="3"/>
      <c r="E965" s="3"/>
      <c r="F965" s="3"/>
      <c r="G965" s="3"/>
      <c r="H965" s="3"/>
      <c r="I965" s="3"/>
      <c r="J965" s="92"/>
    </row>
    <row r="966" spans="4:10" ht="15.75" customHeight="1" x14ac:dyDescent="0.3">
      <c r="D966" s="3"/>
      <c r="E966" s="3"/>
      <c r="F966" s="3"/>
      <c r="G966" s="3"/>
      <c r="H966" s="3"/>
      <c r="I966" s="3"/>
      <c r="J966" s="92"/>
    </row>
    <row r="967" spans="4:10" ht="15.75" customHeight="1" x14ac:dyDescent="0.3">
      <c r="D967" s="3"/>
      <c r="E967" s="3"/>
      <c r="F967" s="3"/>
      <c r="G967" s="3"/>
      <c r="H967" s="3"/>
      <c r="I967" s="3"/>
      <c r="J967" s="92"/>
    </row>
    <row r="968" spans="4:10" ht="15.75" customHeight="1" x14ac:dyDescent="0.3">
      <c r="D968" s="3"/>
      <c r="E968" s="3"/>
      <c r="F968" s="3"/>
      <c r="G968" s="3"/>
      <c r="H968" s="3"/>
      <c r="I968" s="3"/>
      <c r="J968" s="92"/>
    </row>
    <row r="969" spans="4:10" ht="15.75" customHeight="1" x14ac:dyDescent="0.3">
      <c r="D969" s="3"/>
      <c r="E969" s="3"/>
      <c r="F969" s="3"/>
      <c r="G969" s="3"/>
      <c r="H969" s="3"/>
      <c r="I969" s="3"/>
      <c r="J969" s="92"/>
    </row>
    <row r="970" spans="4:10" ht="15.75" customHeight="1" x14ac:dyDescent="0.3">
      <c r="D970" s="3"/>
      <c r="E970" s="3"/>
      <c r="F970" s="3"/>
      <c r="G970" s="3"/>
      <c r="H970" s="3"/>
      <c r="I970" s="3"/>
      <c r="J970" s="92"/>
    </row>
    <row r="971" spans="4:10" ht="15.75" customHeight="1" x14ac:dyDescent="0.3">
      <c r="D971" s="3"/>
      <c r="E971" s="3"/>
      <c r="F971" s="3"/>
      <c r="G971" s="3"/>
      <c r="H971" s="3"/>
      <c r="I971" s="3"/>
      <c r="J971" s="92"/>
    </row>
    <row r="972" spans="4:10" ht="15.75" customHeight="1" x14ac:dyDescent="0.3">
      <c r="D972" s="3"/>
      <c r="E972" s="3"/>
      <c r="F972" s="3"/>
      <c r="G972" s="3"/>
      <c r="H972" s="3"/>
      <c r="I972" s="3"/>
      <c r="J972" s="92"/>
    </row>
    <row r="973" spans="4:10" ht="15.75" customHeight="1" x14ac:dyDescent="0.3">
      <c r="D973" s="3"/>
      <c r="E973" s="3"/>
      <c r="F973" s="3"/>
      <c r="G973" s="3"/>
      <c r="H973" s="3"/>
      <c r="I973" s="3"/>
      <c r="J973" s="92"/>
    </row>
    <row r="974" spans="4:10" ht="15.75" customHeight="1" x14ac:dyDescent="0.3">
      <c r="D974" s="3"/>
      <c r="E974" s="3"/>
      <c r="F974" s="3"/>
      <c r="G974" s="3"/>
      <c r="H974" s="3"/>
      <c r="I974" s="3"/>
      <c r="J974" s="92"/>
    </row>
    <row r="975" spans="4:10" ht="15.75" customHeight="1" x14ac:dyDescent="0.3">
      <c r="D975" s="3"/>
      <c r="E975" s="3"/>
      <c r="F975" s="3"/>
      <c r="G975" s="3"/>
      <c r="H975" s="3"/>
      <c r="I975" s="3"/>
      <c r="J975" s="92"/>
    </row>
    <row r="976" spans="4:10" ht="15.75" customHeight="1" x14ac:dyDescent="0.3">
      <c r="D976" s="3"/>
      <c r="E976" s="3"/>
      <c r="F976" s="3"/>
      <c r="G976" s="3"/>
      <c r="H976" s="3"/>
      <c r="I976" s="3"/>
      <c r="J976" s="92"/>
    </row>
    <row r="977" spans="4:10" ht="15.75" customHeight="1" x14ac:dyDescent="0.3">
      <c r="D977" s="3"/>
      <c r="E977" s="3"/>
      <c r="F977" s="3"/>
      <c r="G977" s="3"/>
      <c r="H977" s="3"/>
      <c r="I977" s="3"/>
      <c r="J977" s="92"/>
    </row>
    <row r="978" spans="4:10" ht="15.75" customHeight="1" x14ac:dyDescent="0.3">
      <c r="D978" s="3"/>
      <c r="E978" s="3"/>
      <c r="F978" s="3"/>
      <c r="G978" s="3"/>
      <c r="H978" s="3"/>
      <c r="I978" s="3"/>
      <c r="J978" s="92"/>
    </row>
    <row r="979" spans="4:10" ht="15.75" customHeight="1" x14ac:dyDescent="0.3">
      <c r="D979" s="3"/>
      <c r="E979" s="3"/>
      <c r="F979" s="3"/>
      <c r="G979" s="3"/>
      <c r="H979" s="3"/>
      <c r="I979" s="3"/>
      <c r="J979" s="92"/>
    </row>
    <row r="980" spans="4:10" ht="15.75" customHeight="1" x14ac:dyDescent="0.3">
      <c r="D980" s="3"/>
      <c r="E980" s="3"/>
      <c r="F980" s="3"/>
      <c r="G980" s="3"/>
      <c r="H980" s="3"/>
      <c r="I980" s="3"/>
      <c r="J980" s="92"/>
    </row>
    <row r="981" spans="4:10" ht="15.75" customHeight="1" x14ac:dyDescent="0.3">
      <c r="D981" s="3"/>
      <c r="E981" s="3"/>
      <c r="F981" s="3"/>
      <c r="G981" s="3"/>
      <c r="H981" s="3"/>
      <c r="I981" s="3"/>
      <c r="J981" s="92"/>
    </row>
    <row r="982" spans="4:10" ht="15.75" customHeight="1" x14ac:dyDescent="0.3">
      <c r="D982" s="3"/>
      <c r="E982" s="3"/>
      <c r="F982" s="3"/>
      <c r="G982" s="3"/>
      <c r="H982" s="3"/>
      <c r="I982" s="3"/>
      <c r="J982" s="92"/>
    </row>
    <row r="983" spans="4:10" ht="15.75" customHeight="1" x14ac:dyDescent="0.3">
      <c r="D983" s="3"/>
      <c r="E983" s="3"/>
      <c r="F983" s="3"/>
      <c r="G983" s="3"/>
      <c r="H983" s="3"/>
      <c r="I983" s="3"/>
      <c r="J983" s="92"/>
    </row>
    <row r="984" spans="4:10" ht="15.75" customHeight="1" x14ac:dyDescent="0.3">
      <c r="D984" s="3"/>
      <c r="E984" s="3"/>
      <c r="F984" s="3"/>
      <c r="G984" s="3"/>
      <c r="H984" s="3"/>
      <c r="I984" s="3"/>
      <c r="J984" s="92"/>
    </row>
    <row r="985" spans="4:10" ht="15.75" customHeight="1" x14ac:dyDescent="0.3">
      <c r="D985" s="3"/>
      <c r="E985" s="3"/>
      <c r="F985" s="3"/>
      <c r="G985" s="3"/>
      <c r="H985" s="3"/>
      <c r="I985" s="3"/>
      <c r="J985" s="92"/>
    </row>
    <row r="986" spans="4:10" ht="15.75" customHeight="1" x14ac:dyDescent="0.3">
      <c r="D986" s="3"/>
      <c r="E986" s="3"/>
      <c r="F986" s="3"/>
      <c r="G986" s="3"/>
      <c r="H986" s="3"/>
      <c r="I986" s="3"/>
      <c r="J986" s="92"/>
    </row>
    <row r="987" spans="4:10" ht="15.75" customHeight="1" x14ac:dyDescent="0.3">
      <c r="D987" s="3"/>
      <c r="E987" s="3"/>
      <c r="F987" s="3"/>
      <c r="G987" s="3"/>
      <c r="H987" s="3"/>
      <c r="I987" s="3"/>
      <c r="J987" s="92"/>
    </row>
    <row r="988" spans="4:10" ht="15.75" customHeight="1" x14ac:dyDescent="0.3">
      <c r="D988" s="3"/>
      <c r="E988" s="3"/>
      <c r="F988" s="3"/>
      <c r="G988" s="3"/>
      <c r="H988" s="3"/>
      <c r="I988" s="3"/>
      <c r="J988" s="92"/>
    </row>
    <row r="989" spans="4:10" ht="15.75" customHeight="1" x14ac:dyDescent="0.3">
      <c r="D989" s="3"/>
      <c r="E989" s="3"/>
      <c r="F989" s="3"/>
      <c r="G989" s="3"/>
      <c r="H989" s="3"/>
      <c r="I989" s="3"/>
      <c r="J989" s="92"/>
    </row>
    <row r="990" spans="4:10" ht="15.75" customHeight="1" x14ac:dyDescent="0.3">
      <c r="D990" s="3"/>
      <c r="E990" s="3"/>
      <c r="F990" s="3"/>
      <c r="G990" s="3"/>
      <c r="H990" s="3"/>
      <c r="I990" s="3"/>
      <c r="J990" s="92"/>
    </row>
    <row r="991" spans="4:10" ht="15.75" customHeight="1" x14ac:dyDescent="0.3">
      <c r="D991" s="3"/>
      <c r="E991" s="3"/>
      <c r="F991" s="3"/>
      <c r="G991" s="3"/>
      <c r="H991" s="3"/>
      <c r="I991" s="3"/>
      <c r="J991" s="92"/>
    </row>
    <row r="992" spans="4:10" ht="15.75" customHeight="1" x14ac:dyDescent="0.3">
      <c r="D992" s="3"/>
      <c r="E992" s="3"/>
      <c r="F992" s="3"/>
      <c r="G992" s="3"/>
      <c r="H992" s="3"/>
      <c r="I992" s="3"/>
      <c r="J992" s="92"/>
    </row>
    <row r="993" spans="4:10" ht="15.75" customHeight="1" x14ac:dyDescent="0.3">
      <c r="D993" s="3"/>
      <c r="E993" s="3"/>
      <c r="F993" s="3"/>
      <c r="G993" s="3"/>
      <c r="H993" s="3"/>
      <c r="I993" s="3"/>
      <c r="J993" s="92"/>
    </row>
    <row r="994" spans="4:10" ht="15.75" customHeight="1" x14ac:dyDescent="0.3">
      <c r="D994" s="3"/>
      <c r="E994" s="3"/>
      <c r="F994" s="3"/>
      <c r="G994" s="3"/>
      <c r="H994" s="3"/>
      <c r="I994" s="3"/>
      <c r="J994" s="92"/>
    </row>
    <row r="995" spans="4:10" ht="15.75" customHeight="1" x14ac:dyDescent="0.3">
      <c r="D995" s="3"/>
      <c r="E995" s="3"/>
      <c r="F995" s="3"/>
      <c r="G995" s="3"/>
      <c r="H995" s="3"/>
      <c r="I995" s="3"/>
      <c r="J995" s="92"/>
    </row>
    <row r="996" spans="4:10" ht="15.75" customHeight="1" x14ac:dyDescent="0.3">
      <c r="D996" s="3"/>
      <c r="E996" s="3"/>
      <c r="F996" s="3"/>
      <c r="G996" s="3"/>
      <c r="H996" s="3"/>
      <c r="I996" s="3"/>
      <c r="J996" s="92"/>
    </row>
    <row r="997" spans="4:10" ht="15.75" customHeight="1" x14ac:dyDescent="0.3">
      <c r="D997" s="3"/>
      <c r="E997" s="3"/>
      <c r="F997" s="3"/>
      <c r="G997" s="3"/>
      <c r="H997" s="3"/>
      <c r="I997" s="3"/>
      <c r="J997" s="92"/>
    </row>
    <row r="998" spans="4:10" ht="15.75" customHeight="1" x14ac:dyDescent="0.3">
      <c r="D998" s="3"/>
      <c r="E998" s="3"/>
      <c r="F998" s="3"/>
      <c r="G998" s="3"/>
      <c r="H998" s="3"/>
      <c r="I998" s="3"/>
      <c r="J998" s="92"/>
    </row>
    <row r="999" spans="4:10" ht="15.75" customHeight="1" x14ac:dyDescent="0.3">
      <c r="D999" s="3"/>
      <c r="E999" s="3"/>
      <c r="F999" s="3"/>
      <c r="G999" s="3"/>
      <c r="H999" s="3"/>
      <c r="I999" s="3"/>
      <c r="J999" s="92"/>
    </row>
    <row r="1000" spans="4:10" ht="15.75" customHeight="1" x14ac:dyDescent="0.3">
      <c r="D1000" s="3"/>
      <c r="E1000" s="3"/>
      <c r="F1000" s="3"/>
      <c r="G1000" s="3"/>
      <c r="H1000" s="3"/>
      <c r="I1000" s="3"/>
      <c r="J1000" s="92"/>
    </row>
    <row r="1001" spans="4:10" ht="15.75" customHeight="1" x14ac:dyDescent="0.3">
      <c r="D1001" s="3"/>
      <c r="E1001" s="3"/>
      <c r="F1001" s="3"/>
      <c r="G1001" s="3"/>
      <c r="H1001" s="3"/>
      <c r="I1001" s="3"/>
      <c r="J1001" s="92"/>
    </row>
    <row r="1002" spans="4:10" ht="15.75" customHeight="1" x14ac:dyDescent="0.3">
      <c r="D1002" s="3"/>
      <c r="E1002" s="3"/>
      <c r="F1002" s="3"/>
      <c r="G1002" s="3"/>
      <c r="H1002" s="3"/>
      <c r="I1002" s="3"/>
      <c r="J1002" s="92"/>
    </row>
    <row r="1003" spans="4:10" ht="15.75" customHeight="1" x14ac:dyDescent="0.3">
      <c r="D1003" s="3"/>
      <c r="E1003" s="3"/>
      <c r="F1003" s="3"/>
      <c r="G1003" s="3"/>
      <c r="H1003" s="3"/>
      <c r="I1003" s="3"/>
      <c r="J1003" s="92"/>
    </row>
    <row r="1004" spans="4:10" ht="15.75" customHeight="1" x14ac:dyDescent="0.3">
      <c r="D1004" s="3"/>
      <c r="E1004" s="3"/>
      <c r="F1004" s="3"/>
      <c r="G1004" s="3"/>
      <c r="H1004" s="3"/>
      <c r="I1004" s="3"/>
      <c r="J1004" s="92"/>
    </row>
    <row r="1005" spans="4:10" ht="15.75" customHeight="1" x14ac:dyDescent="0.3">
      <c r="D1005" s="3"/>
      <c r="E1005" s="3"/>
      <c r="F1005" s="3"/>
      <c r="G1005" s="3"/>
      <c r="H1005" s="3"/>
      <c r="I1005" s="3"/>
      <c r="J1005" s="92"/>
    </row>
    <row r="1006" spans="4:10" ht="15.75" customHeight="1" x14ac:dyDescent="0.3">
      <c r="D1006" s="3"/>
      <c r="E1006" s="3"/>
      <c r="F1006" s="3"/>
      <c r="G1006" s="3"/>
      <c r="H1006" s="3"/>
      <c r="I1006" s="3"/>
      <c r="J1006" s="92"/>
    </row>
  </sheetData>
  <mergeCells count="30">
    <mergeCell ref="P2:R2"/>
    <mergeCell ref="P3:R3"/>
    <mergeCell ref="P4:Q4"/>
    <mergeCell ref="C2:H2"/>
    <mergeCell ref="D8:H8"/>
    <mergeCell ref="L4:M4"/>
    <mergeCell ref="L2:N2"/>
    <mergeCell ref="L3:N3"/>
    <mergeCell ref="N16:N17"/>
    <mergeCell ref="O16:O17"/>
    <mergeCell ref="N18:N19"/>
    <mergeCell ref="N20:N21"/>
    <mergeCell ref="O18:O19"/>
    <mergeCell ref="O20:O21"/>
    <mergeCell ref="P16:P17"/>
    <mergeCell ref="P18:P19"/>
    <mergeCell ref="P20:P21"/>
    <mergeCell ref="L14:S14"/>
    <mergeCell ref="Q15:Q22"/>
    <mergeCell ref="R19:S19"/>
    <mergeCell ref="R15:S15"/>
    <mergeCell ref="S20:S21"/>
    <mergeCell ref="R22:S22"/>
    <mergeCell ref="L16:L17"/>
    <mergeCell ref="L18:L19"/>
    <mergeCell ref="L20:L21"/>
    <mergeCell ref="L22:N22"/>
    <mergeCell ref="M16:M17"/>
    <mergeCell ref="M18:M19"/>
    <mergeCell ref="M20:M21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D73"/>
  <sheetViews>
    <sheetView showGridLines="0" topLeftCell="B50" zoomScale="78" zoomScaleNormal="118" workbookViewId="0">
      <selection activeCell="E8" sqref="E8"/>
    </sheetView>
  </sheetViews>
  <sheetFormatPr baseColWidth="10" defaultColWidth="12.5546875" defaultRowHeight="15.6" x14ac:dyDescent="0.3"/>
  <cols>
    <col min="1" max="1" width="1.88671875" style="1" customWidth="1"/>
    <col min="2" max="2" width="3.44140625" style="1" bestFit="1" customWidth="1"/>
    <col min="3" max="3" width="50.109375" style="2" bestFit="1" customWidth="1"/>
    <col min="4" max="4" width="13.109375" style="3" customWidth="1"/>
    <col min="5" max="5" width="22.33203125" style="2" customWidth="1"/>
    <col min="6" max="6" width="23" style="2" bestFit="1" customWidth="1"/>
    <col min="7" max="7" width="17.6640625" style="3" bestFit="1" customWidth="1"/>
    <col min="8" max="8" width="17.6640625" style="1" bestFit="1" customWidth="1"/>
    <col min="9" max="9" width="23" style="1" bestFit="1" customWidth="1"/>
    <col min="10" max="10" width="24.33203125" style="1" bestFit="1" customWidth="1"/>
    <col min="11" max="11" width="15.6640625" style="1" bestFit="1" customWidth="1"/>
    <col min="12" max="12" width="23" style="1" bestFit="1" customWidth="1"/>
    <col min="13" max="13" width="17.6640625" style="1" bestFit="1" customWidth="1"/>
    <col min="14" max="14" width="15.6640625" style="1" bestFit="1" customWidth="1"/>
    <col min="15" max="15" width="23" style="1" bestFit="1" customWidth="1"/>
    <col min="16" max="16" width="12.6640625" style="1" bestFit="1" customWidth="1"/>
    <col min="17" max="17" width="15.6640625" style="1" bestFit="1" customWidth="1"/>
    <col min="18" max="18" width="23" style="1" bestFit="1" customWidth="1"/>
    <col min="19" max="19" width="12.6640625" style="1" bestFit="1" customWidth="1"/>
    <col min="20" max="20" width="15.6640625" style="1" bestFit="1" customWidth="1"/>
    <col min="21" max="22" width="23" style="1" bestFit="1" customWidth="1"/>
    <col min="23" max="23" width="17.6640625" style="1" bestFit="1" customWidth="1"/>
    <col min="24" max="30" width="12.6640625" style="1" customWidth="1"/>
    <col min="31" max="16384" width="12.5546875" style="1"/>
  </cols>
  <sheetData>
    <row r="2" spans="2:30" x14ac:dyDescent="0.3">
      <c r="G2" s="358" t="s">
        <v>116</v>
      </c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</row>
    <row r="3" spans="2:30" x14ac:dyDescent="0.3">
      <c r="G3" s="359">
        <f>+'PROYECCIONES Y ESTIMACIONES'!M8</f>
        <v>6.1710000000000001E-2</v>
      </c>
      <c r="H3" s="359"/>
      <c r="I3" s="359"/>
      <c r="J3" s="359">
        <f>+'PROYECCIONES Y ESTIMACIONES'!M9</f>
        <v>5.7785000000000003E-2</v>
      </c>
      <c r="K3" s="359"/>
      <c r="L3" s="359"/>
      <c r="M3" s="359">
        <f>+'PROYECCIONES Y ESTIMACIONES'!M10</f>
        <v>5.8425500000000005E-2</v>
      </c>
      <c r="N3" s="359"/>
      <c r="O3" s="359"/>
      <c r="P3" s="359">
        <f>+'PROYECCIONES Y ESTIMACIONES'!M11</f>
        <v>5.8890250000000005E-2</v>
      </c>
      <c r="Q3" s="359"/>
      <c r="R3" s="359"/>
      <c r="S3" s="359">
        <f>+'PROYECCIONES Y ESTIMACIONES'!M12</f>
        <v>5.8529775000000006E-2</v>
      </c>
      <c r="T3" s="359"/>
      <c r="U3" s="359"/>
    </row>
    <row r="5" spans="2:30" ht="21" customHeight="1" x14ac:dyDescent="0.4">
      <c r="B5" s="360" t="s">
        <v>51</v>
      </c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54"/>
      <c r="W5" s="54"/>
      <c r="X5" s="54"/>
      <c r="Y5" s="54"/>
      <c r="Z5" s="54"/>
      <c r="AA5" s="54"/>
      <c r="AB5" s="54"/>
      <c r="AC5" s="54"/>
      <c r="AD5" s="54"/>
    </row>
    <row r="6" spans="2:30" ht="22.8" x14ac:dyDescent="0.4">
      <c r="B6" s="35"/>
      <c r="C6" s="40"/>
      <c r="D6" s="193"/>
      <c r="E6" s="40"/>
      <c r="F6" s="40"/>
      <c r="G6" s="22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spans="2:30" x14ac:dyDescent="0.3">
      <c r="E7" s="34" t="s">
        <v>74</v>
      </c>
      <c r="F7" s="188"/>
      <c r="G7" s="188"/>
      <c r="H7" s="339" t="s">
        <v>0</v>
      </c>
      <c r="I7" s="339"/>
      <c r="J7" s="339"/>
      <c r="K7" s="339" t="s">
        <v>1</v>
      </c>
      <c r="L7" s="339"/>
      <c r="M7" s="339"/>
      <c r="N7" s="339" t="s">
        <v>2</v>
      </c>
      <c r="O7" s="339"/>
      <c r="P7" s="339"/>
      <c r="Q7" s="339" t="s">
        <v>3</v>
      </c>
      <c r="R7" s="339"/>
      <c r="S7" s="339"/>
      <c r="T7" s="339" t="s">
        <v>4</v>
      </c>
      <c r="U7" s="339"/>
      <c r="V7" s="339"/>
    </row>
    <row r="8" spans="2:30" s="16" customFormat="1" ht="31.2" x14ac:dyDescent="0.3">
      <c r="C8" s="32" t="s">
        <v>52</v>
      </c>
      <c r="D8" s="192" t="s">
        <v>229</v>
      </c>
      <c r="E8" s="280" t="s">
        <v>112</v>
      </c>
      <c r="F8" s="20" t="s">
        <v>53</v>
      </c>
      <c r="G8" s="28" t="s">
        <v>54</v>
      </c>
      <c r="H8" s="31" t="s">
        <v>112</v>
      </c>
      <c r="I8" s="20" t="s">
        <v>53</v>
      </c>
      <c r="J8" s="28" t="s">
        <v>54</v>
      </c>
      <c r="K8" s="31" t="s">
        <v>112</v>
      </c>
      <c r="L8" s="30" t="s">
        <v>53</v>
      </c>
      <c r="M8" s="30" t="s">
        <v>54</v>
      </c>
      <c r="N8" s="31" t="s">
        <v>112</v>
      </c>
      <c r="O8" s="30" t="s">
        <v>53</v>
      </c>
      <c r="P8" s="30" t="s">
        <v>54</v>
      </c>
      <c r="Q8" s="31" t="s">
        <v>112</v>
      </c>
      <c r="R8" s="30" t="s">
        <v>53</v>
      </c>
      <c r="S8" s="30" t="s">
        <v>54</v>
      </c>
      <c r="T8" s="31" t="s">
        <v>112</v>
      </c>
      <c r="U8" s="30" t="s">
        <v>53</v>
      </c>
      <c r="V8" s="30" t="s">
        <v>54</v>
      </c>
    </row>
    <row r="9" spans="2:30" x14ac:dyDescent="0.3">
      <c r="B9" s="1">
        <v>1</v>
      </c>
      <c r="C9" s="170" t="s">
        <v>91</v>
      </c>
      <c r="D9" s="194">
        <v>5</v>
      </c>
      <c r="E9" s="190">
        <v>4</v>
      </c>
      <c r="F9" s="275">
        <v>2500000</v>
      </c>
      <c r="G9" s="29">
        <f>+F9*E9</f>
        <v>10000000</v>
      </c>
      <c r="H9" s="25">
        <f>+'PROYECCIONES Y ESTIMACIONES'!D17-E9</f>
        <v>0</v>
      </c>
      <c r="I9" s="26">
        <f t="shared" ref="I9:I23" si="0">+F9*(1+G$3)</f>
        <v>2654275</v>
      </c>
      <c r="J9" s="29">
        <f>+I9*H9</f>
        <v>0</v>
      </c>
      <c r="K9" s="25">
        <f>+'PROYECCIONES Y ESTIMACIONES'!E17-E9</f>
        <v>1</v>
      </c>
      <c r="L9" s="26">
        <f t="shared" ref="L9:L23" si="1">+I9*(1+J$3)</f>
        <v>2807652.2808749997</v>
      </c>
      <c r="M9" s="26">
        <f>+L9*K9</f>
        <v>2807652.2808749997</v>
      </c>
      <c r="N9" s="25">
        <f>+'PROYECCIONES Y ESTIMACIONES'!F17-(E9+K9)</f>
        <v>0</v>
      </c>
      <c r="O9" s="26">
        <f t="shared" ref="O9:O23" si="2">+L9*(1+M$3)</f>
        <v>2971690.769211262</v>
      </c>
      <c r="P9" s="26">
        <f>+O9*N9</f>
        <v>0</v>
      </c>
      <c r="Q9" s="25">
        <f>+'PROYECCIONES Y ESTIMACIONES'!G17-(E9+K9+N9)</f>
        <v>0</v>
      </c>
      <c r="R9" s="26">
        <f t="shared" ref="R9:R23" si="3">+O9*(1+P$3)</f>
        <v>3146694.3815328055</v>
      </c>
      <c r="S9" s="26">
        <f>+R9*Q9</f>
        <v>0</v>
      </c>
      <c r="T9" s="25">
        <f>+'PROYECCIONES Y ESTIMACIONES'!H17-(E9+K9+N9+Q9)</f>
        <v>0</v>
      </c>
      <c r="U9" s="26">
        <f t="shared" ref="U9:U23" si="4">+R9*(1+S$3)</f>
        <v>3330869.6956776846</v>
      </c>
      <c r="V9" s="26">
        <f>+U9*T9</f>
        <v>0</v>
      </c>
    </row>
    <row r="10" spans="2:30" x14ac:dyDescent="0.3">
      <c r="B10" s="1">
        <v>2</v>
      </c>
      <c r="C10" s="170" t="s">
        <v>10</v>
      </c>
      <c r="D10" s="194">
        <v>5</v>
      </c>
      <c r="E10" s="190">
        <v>2</v>
      </c>
      <c r="F10" s="275">
        <v>460000</v>
      </c>
      <c r="G10" s="29">
        <f t="shared" ref="G10:G23" si="5">+F10*E10</f>
        <v>920000</v>
      </c>
      <c r="H10" s="25">
        <f>+'PROYECCIONES Y ESTIMACIONES'!D18-E10</f>
        <v>0</v>
      </c>
      <c r="I10" s="26">
        <f t="shared" si="0"/>
        <v>488386.6</v>
      </c>
      <c r="J10" s="29">
        <f t="shared" ref="J10:J23" si="6">+I10*H10</f>
        <v>0</v>
      </c>
      <c r="K10" s="25">
        <f>+'PROYECCIONES Y ESTIMACIONES'!E18-E10</f>
        <v>1</v>
      </c>
      <c r="L10" s="26">
        <f t="shared" si="1"/>
        <v>516608.01968099998</v>
      </c>
      <c r="M10" s="26">
        <f t="shared" ref="M10:M23" si="7">+L10*K10</f>
        <v>516608.01968099998</v>
      </c>
      <c r="N10" s="25">
        <f>+'PROYECCIONES Y ESTIMACIONES'!F18-(E10+K10)</f>
        <v>0</v>
      </c>
      <c r="O10" s="26">
        <f t="shared" si="2"/>
        <v>546791.1015348722</v>
      </c>
      <c r="P10" s="26">
        <f t="shared" ref="P10:P20" si="8">+O10*N10</f>
        <v>0</v>
      </c>
      <c r="Q10" s="25">
        <f>+'PROYECCIONES Y ESTIMACIONES'!G18-(E10+K10+N10)</f>
        <v>0</v>
      </c>
      <c r="R10" s="26">
        <f t="shared" si="3"/>
        <v>578991.76620203617</v>
      </c>
      <c r="S10" s="26">
        <f t="shared" ref="S10:S20" si="9">+R10*Q10</f>
        <v>0</v>
      </c>
      <c r="T10" s="25">
        <f>+'PROYECCIONES Y ESTIMACIONES'!H18-(E10+K10+N10+Q10)</f>
        <v>0</v>
      </c>
      <c r="U10" s="26">
        <f t="shared" si="4"/>
        <v>612880.02400469396</v>
      </c>
      <c r="V10" s="26">
        <f t="shared" ref="V10:V20" si="10">+U10*T10</f>
        <v>0</v>
      </c>
    </row>
    <row r="11" spans="2:30" x14ac:dyDescent="0.3">
      <c r="B11" s="1">
        <v>3</v>
      </c>
      <c r="C11" s="170" t="s">
        <v>94</v>
      </c>
      <c r="D11" s="194">
        <v>10</v>
      </c>
      <c r="E11" s="190">
        <v>5</v>
      </c>
      <c r="F11" s="275">
        <v>1000000</v>
      </c>
      <c r="G11" s="29">
        <f t="shared" si="5"/>
        <v>5000000</v>
      </c>
      <c r="H11" s="25">
        <f>+'PROYECCIONES Y ESTIMACIONES'!D19-E11</f>
        <v>0</v>
      </c>
      <c r="I11" s="26">
        <f t="shared" si="0"/>
        <v>1061710</v>
      </c>
      <c r="J11" s="29">
        <f t="shared" si="6"/>
        <v>0</v>
      </c>
      <c r="K11" s="25">
        <f>+'PROYECCIONES Y ESTIMACIONES'!E19-E11</f>
        <v>1</v>
      </c>
      <c r="L11" s="26">
        <f t="shared" si="1"/>
        <v>1123060.9123499999</v>
      </c>
      <c r="M11" s="26">
        <f t="shared" si="7"/>
        <v>1123060.9123499999</v>
      </c>
      <c r="N11" s="25">
        <f>+'PROYECCIONES Y ESTIMACIONES'!F19-(E11+K11)</f>
        <v>0</v>
      </c>
      <c r="O11" s="26">
        <f t="shared" si="2"/>
        <v>1188676.3076845049</v>
      </c>
      <c r="P11" s="26">
        <f t="shared" si="8"/>
        <v>0</v>
      </c>
      <c r="Q11" s="25">
        <f>+'PROYECCIONES Y ESTIMACIONES'!G19-(E11+K11+N11)</f>
        <v>0</v>
      </c>
      <c r="R11" s="26">
        <f t="shared" si="3"/>
        <v>1258677.7526131221</v>
      </c>
      <c r="S11" s="26">
        <f t="shared" si="9"/>
        <v>0</v>
      </c>
      <c r="T11" s="25">
        <f>+'PROYECCIONES Y ESTIMACIONES'!H19-(E11+K11+N11+Q11)</f>
        <v>1</v>
      </c>
      <c r="U11" s="26">
        <f t="shared" si="4"/>
        <v>1332347.8782710738</v>
      </c>
      <c r="V11" s="26">
        <f>+U11*T11</f>
        <v>1332347.8782710738</v>
      </c>
    </row>
    <row r="12" spans="2:30" x14ac:dyDescent="0.3">
      <c r="B12" s="1">
        <v>4</v>
      </c>
      <c r="C12" s="170" t="s">
        <v>11</v>
      </c>
      <c r="D12" s="194">
        <v>5</v>
      </c>
      <c r="E12" s="190">
        <v>1</v>
      </c>
      <c r="F12" s="275">
        <v>655000</v>
      </c>
      <c r="G12" s="29">
        <f t="shared" si="5"/>
        <v>655000</v>
      </c>
      <c r="H12" s="25">
        <f>+'PROYECCIONES Y ESTIMACIONES'!D20-E12</f>
        <v>0</v>
      </c>
      <c r="I12" s="26">
        <f t="shared" si="0"/>
        <v>695420.04999999993</v>
      </c>
      <c r="J12" s="29">
        <f t="shared" si="6"/>
        <v>0</v>
      </c>
      <c r="K12" s="25">
        <f>+'PROYECCIONES Y ESTIMACIONES'!E20-E12</f>
        <v>1</v>
      </c>
      <c r="L12" s="26">
        <f t="shared" si="1"/>
        <v>735604.89758924989</v>
      </c>
      <c r="M12" s="26">
        <f t="shared" si="7"/>
        <v>735604.89758924989</v>
      </c>
      <c r="N12" s="25">
        <f>+'PROYECCIONES Y ESTIMACIONES'!F20-(E12+K12)</f>
        <v>0</v>
      </c>
      <c r="O12" s="26">
        <f t="shared" si="2"/>
        <v>778582.98153335066</v>
      </c>
      <c r="P12" s="26">
        <f t="shared" si="8"/>
        <v>0</v>
      </c>
      <c r="Q12" s="25">
        <f>+'PROYECCIONES Y ESTIMACIONES'!G20-(E12+K12+N12)</f>
        <v>0</v>
      </c>
      <c r="R12" s="26">
        <f t="shared" si="3"/>
        <v>824433.92796159501</v>
      </c>
      <c r="S12" s="26">
        <f t="shared" si="9"/>
        <v>0</v>
      </c>
      <c r="T12" s="25">
        <f>+'PROYECCIONES Y ESTIMACIONES'!H20-(E12+K12+N12+Q12)</f>
        <v>0</v>
      </c>
      <c r="U12" s="26">
        <f t="shared" si="4"/>
        <v>872687.86026755336</v>
      </c>
      <c r="V12" s="26">
        <f t="shared" si="10"/>
        <v>0</v>
      </c>
    </row>
    <row r="13" spans="2:30" x14ac:dyDescent="0.3">
      <c r="B13" s="1">
        <v>5</v>
      </c>
      <c r="C13" s="170" t="s">
        <v>12</v>
      </c>
      <c r="D13" s="194">
        <v>10</v>
      </c>
      <c r="E13" s="190">
        <v>2</v>
      </c>
      <c r="F13" s="275">
        <v>500000</v>
      </c>
      <c r="G13" s="29">
        <f t="shared" si="5"/>
        <v>1000000</v>
      </c>
      <c r="H13" s="25">
        <f>+'PROYECCIONES Y ESTIMACIONES'!D21-E13</f>
        <v>0</v>
      </c>
      <c r="I13" s="26">
        <f t="shared" si="0"/>
        <v>530855</v>
      </c>
      <c r="J13" s="29">
        <f t="shared" si="6"/>
        <v>0</v>
      </c>
      <c r="K13" s="25">
        <f>+'PROYECCIONES Y ESTIMACIONES'!E21-E13</f>
        <v>1</v>
      </c>
      <c r="L13" s="26">
        <f t="shared" si="1"/>
        <v>561530.45617499994</v>
      </c>
      <c r="M13" s="26">
        <f t="shared" si="7"/>
        <v>561530.45617499994</v>
      </c>
      <c r="N13" s="25">
        <f>+'PROYECCIONES Y ESTIMACIONES'!F21-(E13+K13)</f>
        <v>0</v>
      </c>
      <c r="O13" s="26">
        <f t="shared" si="2"/>
        <v>594338.15384225245</v>
      </c>
      <c r="P13" s="26">
        <f t="shared" si="8"/>
        <v>0</v>
      </c>
      <c r="Q13" s="25">
        <f>+'PROYECCIONES Y ESTIMACIONES'!G21-(E13+K13+N13)</f>
        <v>0</v>
      </c>
      <c r="R13" s="26">
        <f t="shared" si="3"/>
        <v>629338.87630656105</v>
      </c>
      <c r="S13" s="26">
        <f t="shared" si="9"/>
        <v>0</v>
      </c>
      <c r="T13" s="25">
        <f>+'PROYECCIONES Y ESTIMACIONES'!H21-(E13+K13+N13+Q13)</f>
        <v>0</v>
      </c>
      <c r="U13" s="26">
        <f t="shared" si="4"/>
        <v>666173.9391355369</v>
      </c>
      <c r="V13" s="26">
        <f t="shared" si="10"/>
        <v>0</v>
      </c>
    </row>
    <row r="14" spans="2:30" x14ac:dyDescent="0.3">
      <c r="B14" s="1">
        <v>6</v>
      </c>
      <c r="C14" s="170" t="s">
        <v>13</v>
      </c>
      <c r="D14" s="194">
        <v>5</v>
      </c>
      <c r="E14" s="190">
        <v>2</v>
      </c>
      <c r="F14" s="275">
        <v>350000</v>
      </c>
      <c r="G14" s="29">
        <f t="shared" si="5"/>
        <v>700000</v>
      </c>
      <c r="H14" s="25">
        <f>+'PROYECCIONES Y ESTIMACIONES'!D22-E14</f>
        <v>0</v>
      </c>
      <c r="I14" s="26">
        <f t="shared" si="0"/>
        <v>371598.5</v>
      </c>
      <c r="J14" s="29">
        <f t="shared" si="6"/>
        <v>0</v>
      </c>
      <c r="K14" s="25">
        <f>+'PROYECCIONES Y ESTIMACIONES'!E22-E14</f>
        <v>1</v>
      </c>
      <c r="L14" s="26">
        <f t="shared" si="1"/>
        <v>393071.31932249997</v>
      </c>
      <c r="M14" s="26">
        <f t="shared" si="7"/>
        <v>393071.31932249997</v>
      </c>
      <c r="N14" s="25">
        <f>+'PROYECCIONES Y ESTIMACIONES'!F22-(E14+K14)</f>
        <v>0</v>
      </c>
      <c r="O14" s="26">
        <f t="shared" si="2"/>
        <v>416036.70768957672</v>
      </c>
      <c r="P14" s="26">
        <f t="shared" si="8"/>
        <v>0</v>
      </c>
      <c r="Q14" s="25">
        <f>+'PROYECCIONES Y ESTIMACIONES'!G22-(E14+K14+N14)</f>
        <v>0</v>
      </c>
      <c r="R14" s="26">
        <f t="shared" si="3"/>
        <v>440537.21341459278</v>
      </c>
      <c r="S14" s="26">
        <f t="shared" si="9"/>
        <v>0</v>
      </c>
      <c r="T14" s="25">
        <f>+'PROYECCIONES Y ESTIMACIONES'!H22-(E14+K14+N14+Q14)</f>
        <v>0</v>
      </c>
      <c r="U14" s="26">
        <f t="shared" si="4"/>
        <v>466321.75739487587</v>
      </c>
      <c r="V14" s="26">
        <f t="shared" si="10"/>
        <v>0</v>
      </c>
    </row>
    <row r="15" spans="2:30" x14ac:dyDescent="0.3">
      <c r="B15" s="1">
        <v>7</v>
      </c>
      <c r="C15" s="170" t="s">
        <v>14</v>
      </c>
      <c r="D15" s="194">
        <v>5</v>
      </c>
      <c r="E15" s="190">
        <v>1</v>
      </c>
      <c r="F15" s="275">
        <v>200000</v>
      </c>
      <c r="G15" s="29">
        <f t="shared" si="5"/>
        <v>200000</v>
      </c>
      <c r="H15" s="25">
        <f>+'PROYECCIONES Y ESTIMACIONES'!D23-E15</f>
        <v>0</v>
      </c>
      <c r="I15" s="26">
        <f t="shared" si="0"/>
        <v>212342</v>
      </c>
      <c r="J15" s="29">
        <f t="shared" si="6"/>
        <v>0</v>
      </c>
      <c r="K15" s="25">
        <f>+'PROYECCIONES Y ESTIMACIONES'!E23-E15</f>
        <v>1</v>
      </c>
      <c r="L15" s="26">
        <f t="shared" si="1"/>
        <v>224612.18247</v>
      </c>
      <c r="M15" s="26">
        <f t="shared" si="7"/>
        <v>224612.18247</v>
      </c>
      <c r="N15" s="25">
        <f>+'PROYECCIONES Y ESTIMACIONES'!F23-(E15+K15)</f>
        <v>0</v>
      </c>
      <c r="O15" s="26">
        <f t="shared" si="2"/>
        <v>237735.261536901</v>
      </c>
      <c r="P15" s="26">
        <f t="shared" si="8"/>
        <v>0</v>
      </c>
      <c r="Q15" s="25">
        <f>+'PROYECCIONES Y ESTIMACIONES'!G23-(E15+K15+N15)</f>
        <v>0</v>
      </c>
      <c r="R15" s="26">
        <f t="shared" si="3"/>
        <v>251735.55052262446</v>
      </c>
      <c r="S15" s="26">
        <f t="shared" si="9"/>
        <v>0</v>
      </c>
      <c r="T15" s="25">
        <f>+'PROYECCIONES Y ESTIMACIONES'!H23-(E15+K15+N15+Q15)</f>
        <v>0</v>
      </c>
      <c r="U15" s="26">
        <f t="shared" si="4"/>
        <v>266469.57565421477</v>
      </c>
      <c r="V15" s="26">
        <f t="shared" si="10"/>
        <v>0</v>
      </c>
    </row>
    <row r="16" spans="2:30" x14ac:dyDescent="0.3">
      <c r="B16" s="1">
        <v>8</v>
      </c>
      <c r="C16" s="170" t="s">
        <v>15</v>
      </c>
      <c r="D16" s="194">
        <v>5</v>
      </c>
      <c r="E16" s="190">
        <v>1</v>
      </c>
      <c r="F16" s="275">
        <v>610000</v>
      </c>
      <c r="G16" s="29">
        <f t="shared" si="5"/>
        <v>610000</v>
      </c>
      <c r="H16" s="25">
        <f>+'PROYECCIONES Y ESTIMACIONES'!D24-E16</f>
        <v>0</v>
      </c>
      <c r="I16" s="26">
        <f t="shared" si="0"/>
        <v>647643.1</v>
      </c>
      <c r="J16" s="29">
        <f t="shared" si="6"/>
        <v>0</v>
      </c>
      <c r="K16" s="25">
        <f>+'PROYECCIONES Y ESTIMACIONES'!E24-E16</f>
        <v>1</v>
      </c>
      <c r="L16" s="26">
        <f t="shared" si="1"/>
        <v>685067.15653349995</v>
      </c>
      <c r="M16" s="26">
        <f t="shared" si="7"/>
        <v>685067.15653349995</v>
      </c>
      <c r="N16" s="25">
        <f>+'PROYECCIONES Y ESTIMACIONES'!F24-(E16+K16)</f>
        <v>0</v>
      </c>
      <c r="O16" s="26">
        <f t="shared" si="2"/>
        <v>725092.54768754798</v>
      </c>
      <c r="P16" s="26">
        <f t="shared" si="8"/>
        <v>0</v>
      </c>
      <c r="Q16" s="25">
        <f>+'PROYECCIONES Y ESTIMACIONES'!G24-(E16+K16+N16)</f>
        <v>0</v>
      </c>
      <c r="R16" s="26">
        <f t="shared" si="3"/>
        <v>767793.42909400456</v>
      </c>
      <c r="S16" s="26">
        <f t="shared" si="9"/>
        <v>0</v>
      </c>
      <c r="T16" s="25">
        <f>+'PROYECCIONES Y ESTIMACIONES'!H24-(E16+K16+N16+Q16)</f>
        <v>0</v>
      </c>
      <c r="U16" s="26">
        <f t="shared" si="4"/>
        <v>812732.20574535511</v>
      </c>
      <c r="V16" s="26">
        <f t="shared" si="10"/>
        <v>0</v>
      </c>
    </row>
    <row r="17" spans="2:23" x14ac:dyDescent="0.3">
      <c r="B17" s="1">
        <v>9</v>
      </c>
      <c r="C17" s="170" t="s">
        <v>16</v>
      </c>
      <c r="D17" s="194">
        <v>10</v>
      </c>
      <c r="E17" s="190">
        <v>1</v>
      </c>
      <c r="F17" s="275">
        <v>1000000</v>
      </c>
      <c r="G17" s="29">
        <f t="shared" si="5"/>
        <v>1000000</v>
      </c>
      <c r="H17" s="25">
        <f>+'PROYECCIONES Y ESTIMACIONES'!D25-E17</f>
        <v>0</v>
      </c>
      <c r="I17" s="26">
        <f t="shared" si="0"/>
        <v>1061710</v>
      </c>
      <c r="J17" s="29">
        <f t="shared" si="6"/>
        <v>0</v>
      </c>
      <c r="K17" s="25">
        <f>+'PROYECCIONES Y ESTIMACIONES'!E25-E17</f>
        <v>1</v>
      </c>
      <c r="L17" s="26">
        <f t="shared" si="1"/>
        <v>1123060.9123499999</v>
      </c>
      <c r="M17" s="26">
        <f t="shared" si="7"/>
        <v>1123060.9123499999</v>
      </c>
      <c r="N17" s="25">
        <f>+'PROYECCIONES Y ESTIMACIONES'!F25-(E17+K17)</f>
        <v>0</v>
      </c>
      <c r="O17" s="26">
        <f t="shared" si="2"/>
        <v>1188676.3076845049</v>
      </c>
      <c r="P17" s="26">
        <f t="shared" si="8"/>
        <v>0</v>
      </c>
      <c r="Q17" s="25">
        <f>+'PROYECCIONES Y ESTIMACIONES'!G25-(E17+K17+N17)</f>
        <v>0</v>
      </c>
      <c r="R17" s="26">
        <f t="shared" si="3"/>
        <v>1258677.7526131221</v>
      </c>
      <c r="S17" s="26">
        <f t="shared" si="9"/>
        <v>0</v>
      </c>
      <c r="T17" s="25">
        <f>+'PROYECCIONES Y ESTIMACIONES'!H25-(E17+K17+N17+Q17)</f>
        <v>0</v>
      </c>
      <c r="U17" s="26">
        <f t="shared" si="4"/>
        <v>1332347.8782710738</v>
      </c>
      <c r="V17" s="26">
        <f t="shared" si="10"/>
        <v>0</v>
      </c>
    </row>
    <row r="18" spans="2:23" x14ac:dyDescent="0.3">
      <c r="B18" s="1">
        <v>10</v>
      </c>
      <c r="C18" s="170" t="s">
        <v>96</v>
      </c>
      <c r="D18" s="194">
        <v>5</v>
      </c>
      <c r="E18" s="190">
        <v>4</v>
      </c>
      <c r="F18" s="275">
        <v>250000</v>
      </c>
      <c r="G18" s="29">
        <f t="shared" si="5"/>
        <v>1000000</v>
      </c>
      <c r="H18" s="25">
        <f>+'PROYECCIONES Y ESTIMACIONES'!D26-E18</f>
        <v>0</v>
      </c>
      <c r="I18" s="26">
        <f t="shared" si="0"/>
        <v>265427.5</v>
      </c>
      <c r="J18" s="29">
        <f t="shared" si="6"/>
        <v>0</v>
      </c>
      <c r="K18" s="25">
        <f>+'PROYECCIONES Y ESTIMACIONES'!E26-E18</f>
        <v>1</v>
      </c>
      <c r="L18" s="26">
        <f t="shared" si="1"/>
        <v>280765.22808749997</v>
      </c>
      <c r="M18" s="26">
        <f t="shared" si="7"/>
        <v>280765.22808749997</v>
      </c>
      <c r="N18" s="25">
        <f>+'PROYECCIONES Y ESTIMACIONES'!F26-(E18+K18)</f>
        <v>0</v>
      </c>
      <c r="O18" s="26">
        <f t="shared" si="2"/>
        <v>297169.07692112622</v>
      </c>
      <c r="P18" s="26">
        <f t="shared" si="8"/>
        <v>0</v>
      </c>
      <c r="Q18" s="25">
        <f>+'PROYECCIONES Y ESTIMACIONES'!G26-(E18+K18+N18)</f>
        <v>0</v>
      </c>
      <c r="R18" s="26">
        <f t="shared" si="3"/>
        <v>314669.43815328053</v>
      </c>
      <c r="S18" s="26">
        <f t="shared" si="9"/>
        <v>0</v>
      </c>
      <c r="T18" s="25">
        <f>+'PROYECCIONES Y ESTIMACIONES'!H26-(E18+K18+N18+Q18)</f>
        <v>0</v>
      </c>
      <c r="U18" s="26">
        <f t="shared" si="4"/>
        <v>333086.96956776845</v>
      </c>
      <c r="V18" s="26">
        <f t="shared" si="10"/>
        <v>0</v>
      </c>
    </row>
    <row r="19" spans="2:23" x14ac:dyDescent="0.3">
      <c r="B19" s="1">
        <v>11</v>
      </c>
      <c r="C19" s="170" t="s">
        <v>97</v>
      </c>
      <c r="D19" s="194">
        <v>5</v>
      </c>
      <c r="E19" s="190">
        <v>6</v>
      </c>
      <c r="F19" s="275">
        <v>350000</v>
      </c>
      <c r="G19" s="29">
        <f t="shared" si="5"/>
        <v>2100000</v>
      </c>
      <c r="H19" s="25">
        <f>+'PROYECCIONES Y ESTIMACIONES'!D27-E19</f>
        <v>0</v>
      </c>
      <c r="I19" s="26">
        <f t="shared" si="0"/>
        <v>371598.5</v>
      </c>
      <c r="J19" s="29">
        <f t="shared" si="6"/>
        <v>0</v>
      </c>
      <c r="K19" s="25">
        <f>+'PROYECCIONES Y ESTIMACIONES'!E27-E19</f>
        <v>1</v>
      </c>
      <c r="L19" s="26">
        <f t="shared" si="1"/>
        <v>393071.31932249997</v>
      </c>
      <c r="M19" s="26">
        <f t="shared" si="7"/>
        <v>393071.31932249997</v>
      </c>
      <c r="N19" s="25">
        <f>+'PROYECCIONES Y ESTIMACIONES'!F27-(E19+K19)</f>
        <v>0</v>
      </c>
      <c r="O19" s="26">
        <f t="shared" si="2"/>
        <v>416036.70768957672</v>
      </c>
      <c r="P19" s="26">
        <f t="shared" si="8"/>
        <v>0</v>
      </c>
      <c r="Q19" s="25">
        <f>+'PROYECCIONES Y ESTIMACIONES'!G27-(E19+K19+N19)</f>
        <v>0</v>
      </c>
      <c r="R19" s="26">
        <f t="shared" si="3"/>
        <v>440537.21341459278</v>
      </c>
      <c r="S19" s="26">
        <f t="shared" si="9"/>
        <v>0</v>
      </c>
      <c r="T19" s="25">
        <f>+'PROYECCIONES Y ESTIMACIONES'!H27-(E19+K19+N19+Q19)</f>
        <v>1</v>
      </c>
      <c r="U19" s="26">
        <f t="shared" si="4"/>
        <v>466321.75739487587</v>
      </c>
      <c r="V19" s="26">
        <f t="shared" si="10"/>
        <v>466321.75739487587</v>
      </c>
    </row>
    <row r="20" spans="2:23" x14ac:dyDescent="0.3">
      <c r="B20" s="1">
        <v>12</v>
      </c>
      <c r="C20" s="170" t="s">
        <v>98</v>
      </c>
      <c r="D20" s="194">
        <v>10</v>
      </c>
      <c r="E20" s="190">
        <v>4</v>
      </c>
      <c r="F20" s="275">
        <v>500000</v>
      </c>
      <c r="G20" s="29">
        <f t="shared" si="5"/>
        <v>2000000</v>
      </c>
      <c r="H20" s="25">
        <f>+'PROYECCIONES Y ESTIMACIONES'!D28-E20</f>
        <v>0</v>
      </c>
      <c r="I20" s="26">
        <f t="shared" si="0"/>
        <v>530855</v>
      </c>
      <c r="J20" s="29">
        <f t="shared" si="6"/>
        <v>0</v>
      </c>
      <c r="K20" s="25">
        <f>+'PROYECCIONES Y ESTIMACIONES'!E28-E20</f>
        <v>1</v>
      </c>
      <c r="L20" s="26">
        <f t="shared" si="1"/>
        <v>561530.45617499994</v>
      </c>
      <c r="M20" s="26">
        <f t="shared" si="7"/>
        <v>561530.45617499994</v>
      </c>
      <c r="N20" s="25">
        <f>+'PROYECCIONES Y ESTIMACIONES'!F28-(E20+K20)</f>
        <v>0</v>
      </c>
      <c r="O20" s="26">
        <f t="shared" si="2"/>
        <v>594338.15384225245</v>
      </c>
      <c r="P20" s="26">
        <f t="shared" si="8"/>
        <v>0</v>
      </c>
      <c r="Q20" s="25">
        <f>+'PROYECCIONES Y ESTIMACIONES'!G28-(E20+K20+N20)</f>
        <v>0</v>
      </c>
      <c r="R20" s="26">
        <f t="shared" si="3"/>
        <v>629338.87630656105</v>
      </c>
      <c r="S20" s="26">
        <f t="shared" si="9"/>
        <v>0</v>
      </c>
      <c r="T20" s="25">
        <f>+'PROYECCIONES Y ESTIMACIONES'!H28-(E20+K20+N20+Q20)</f>
        <v>0</v>
      </c>
      <c r="U20" s="26">
        <f t="shared" si="4"/>
        <v>666173.9391355369</v>
      </c>
      <c r="V20" s="26">
        <f t="shared" si="10"/>
        <v>0</v>
      </c>
    </row>
    <row r="21" spans="2:23" x14ac:dyDescent="0.3">
      <c r="B21" s="1">
        <v>13</v>
      </c>
      <c r="C21" s="170" t="s">
        <v>99</v>
      </c>
      <c r="D21" s="194">
        <v>10</v>
      </c>
      <c r="E21" s="190">
        <v>5</v>
      </c>
      <c r="F21" s="275">
        <v>450000</v>
      </c>
      <c r="G21" s="29">
        <f t="shared" si="5"/>
        <v>2250000</v>
      </c>
      <c r="H21" s="25">
        <f>+'PROYECCIONES Y ESTIMACIONES'!D29-E21</f>
        <v>0</v>
      </c>
      <c r="I21" s="26">
        <f t="shared" si="0"/>
        <v>477769.49999999994</v>
      </c>
      <c r="J21" s="29">
        <f t="shared" si="6"/>
        <v>0</v>
      </c>
      <c r="K21" s="25">
        <f>+'PROYECCIONES Y ESTIMACIONES'!E29-E21</f>
        <v>1</v>
      </c>
      <c r="L21" s="26">
        <f t="shared" si="1"/>
        <v>505377.41055749991</v>
      </c>
      <c r="M21" s="26">
        <f>+L21*K21</f>
        <v>505377.41055749991</v>
      </c>
      <c r="N21" s="25">
        <f>+'PROYECCIONES Y ESTIMACIONES'!F29-(E21+K21)</f>
        <v>0</v>
      </c>
      <c r="O21" s="26">
        <f t="shared" si="2"/>
        <v>534904.33845802711</v>
      </c>
      <c r="P21" s="26">
        <f>+O21*N21</f>
        <v>0</v>
      </c>
      <c r="Q21" s="25">
        <f>+'PROYECCIONES Y ESTIMACIONES'!G29-(E21+K21+N21)</f>
        <v>0</v>
      </c>
      <c r="R21" s="26">
        <f t="shared" si="3"/>
        <v>566404.98867590493</v>
      </c>
      <c r="S21" s="26">
        <f>+R21*Q21</f>
        <v>0</v>
      </c>
      <c r="T21" s="25">
        <f>+'PROYECCIONES Y ESTIMACIONES'!H29-(E21+K21+N21+Q21)</f>
        <v>1</v>
      </c>
      <c r="U21" s="26">
        <f t="shared" si="4"/>
        <v>599556.54522198322</v>
      </c>
      <c r="V21" s="26">
        <f>+U21*T21</f>
        <v>599556.54522198322</v>
      </c>
    </row>
    <row r="22" spans="2:23" x14ac:dyDescent="0.3">
      <c r="B22" s="1">
        <v>14</v>
      </c>
      <c r="C22" s="170" t="s">
        <v>100</v>
      </c>
      <c r="D22" s="194">
        <v>5</v>
      </c>
      <c r="E22" s="190">
        <v>1</v>
      </c>
      <c r="F22" s="275">
        <v>1500000</v>
      </c>
      <c r="G22" s="181">
        <f t="shared" si="5"/>
        <v>1500000</v>
      </c>
      <c r="H22" s="176">
        <f>+'PROYECCIONES Y ESTIMACIONES'!D30-E22</f>
        <v>0</v>
      </c>
      <c r="I22" s="182">
        <f t="shared" si="0"/>
        <v>1592565</v>
      </c>
      <c r="J22" s="181">
        <f t="shared" si="6"/>
        <v>0</v>
      </c>
      <c r="K22" s="25">
        <f>+'PROYECCIONES Y ESTIMACIONES'!E30-E22</f>
        <v>1</v>
      </c>
      <c r="L22" s="26">
        <f t="shared" si="1"/>
        <v>1684591.3685250001</v>
      </c>
      <c r="M22" s="26">
        <f t="shared" si="7"/>
        <v>1684591.3685250001</v>
      </c>
      <c r="N22" s="25">
        <f>+'PROYECCIONES Y ESTIMACIONES'!F30-(E22+K22)</f>
        <v>0</v>
      </c>
      <c r="O22" s="26">
        <f t="shared" si="2"/>
        <v>1783014.4615267576</v>
      </c>
      <c r="P22" s="26">
        <f t="shared" ref="P22:P23" si="11">+O22*N22</f>
        <v>0</v>
      </c>
      <c r="Q22" s="25">
        <f>+'PROYECCIONES Y ESTIMACIONES'!G30-(E22+K22+N22)</f>
        <v>0</v>
      </c>
      <c r="R22" s="26">
        <f t="shared" si="3"/>
        <v>1888016.6289196836</v>
      </c>
      <c r="S22" s="26">
        <f t="shared" ref="S22:S23" si="12">+R22*Q22</f>
        <v>0</v>
      </c>
      <c r="T22" s="25">
        <f>+'PROYECCIONES Y ESTIMACIONES'!H30-(E22+K22+N22+Q22)</f>
        <v>0</v>
      </c>
      <c r="U22" s="26">
        <f t="shared" si="4"/>
        <v>1998521.8174066113</v>
      </c>
      <c r="V22" s="26">
        <f t="shared" ref="V22:V23" si="13">+U22*T22</f>
        <v>0</v>
      </c>
    </row>
    <row r="23" spans="2:23" x14ac:dyDescent="0.3">
      <c r="B23" s="1">
        <v>15</v>
      </c>
      <c r="C23" s="170" t="s">
        <v>101</v>
      </c>
      <c r="D23" s="194">
        <v>5</v>
      </c>
      <c r="E23" s="190">
        <v>1</v>
      </c>
      <c r="F23" s="29">
        <v>70000</v>
      </c>
      <c r="G23" s="26">
        <f t="shared" si="5"/>
        <v>70000</v>
      </c>
      <c r="H23" s="25">
        <f>+'PROYECCIONES Y ESTIMACIONES'!D31-E23</f>
        <v>0</v>
      </c>
      <c r="I23" s="26">
        <f t="shared" si="0"/>
        <v>74319.7</v>
      </c>
      <c r="J23" s="26">
        <f t="shared" si="6"/>
        <v>0</v>
      </c>
      <c r="K23" s="25">
        <f>+'PROYECCIONES Y ESTIMACIONES'!E31-E23</f>
        <v>1</v>
      </c>
      <c r="L23" s="26">
        <f t="shared" si="1"/>
        <v>78614.263864499997</v>
      </c>
      <c r="M23" s="26">
        <f t="shared" si="7"/>
        <v>78614.263864499997</v>
      </c>
      <c r="N23" s="25">
        <f>+'PROYECCIONES Y ESTIMACIONES'!F31-(E23+K23)</f>
        <v>0</v>
      </c>
      <c r="O23" s="26">
        <f t="shared" si="2"/>
        <v>83207.341537915345</v>
      </c>
      <c r="P23" s="26">
        <f t="shared" si="11"/>
        <v>0</v>
      </c>
      <c r="Q23" s="25">
        <f>+'PROYECCIONES Y ESTIMACIONES'!G31-(E23+K23+N23)</f>
        <v>0</v>
      </c>
      <c r="R23" s="26">
        <f t="shared" si="3"/>
        <v>88107.442682918554</v>
      </c>
      <c r="S23" s="26">
        <f t="shared" si="12"/>
        <v>0</v>
      </c>
      <c r="T23" s="25">
        <f>+'PROYECCIONES Y ESTIMACIONES'!H31-(E23+K23+N23+Q23)</f>
        <v>0</v>
      </c>
      <c r="U23" s="26">
        <f t="shared" si="4"/>
        <v>93264.351478975179</v>
      </c>
      <c r="V23" s="26">
        <f t="shared" si="13"/>
        <v>0</v>
      </c>
    </row>
    <row r="24" spans="2:23" s="35" customFormat="1" x14ac:dyDescent="0.3">
      <c r="B24" s="1">
        <v>16</v>
      </c>
      <c r="C24" s="170" t="s">
        <v>106</v>
      </c>
      <c r="D24" s="194">
        <v>5</v>
      </c>
      <c r="E24" s="177">
        <v>1</v>
      </c>
      <c r="F24" s="276">
        <v>1700000</v>
      </c>
      <c r="G24" s="26">
        <f>+F24*E24</f>
        <v>1700000</v>
      </c>
      <c r="I24" s="22"/>
      <c r="J24" s="23"/>
      <c r="K24" s="23"/>
    </row>
    <row r="25" spans="2:23" x14ac:dyDescent="0.3">
      <c r="B25" s="1">
        <v>17</v>
      </c>
      <c r="C25" s="169" t="s">
        <v>223</v>
      </c>
      <c r="D25" s="195">
        <v>5</v>
      </c>
      <c r="E25" s="47">
        <v>1</v>
      </c>
      <c r="F25" s="277">
        <v>800000</v>
      </c>
      <c r="G25" s="26">
        <f>+F25*E25</f>
        <v>800000</v>
      </c>
      <c r="H25" s="35"/>
      <c r="I25" s="22"/>
      <c r="J25" s="23"/>
      <c r="K25" s="23"/>
    </row>
    <row r="26" spans="2:23" x14ac:dyDescent="0.3">
      <c r="B26" s="1">
        <v>18</v>
      </c>
      <c r="C26" s="169" t="s">
        <v>57</v>
      </c>
      <c r="D26" s="195">
        <v>5</v>
      </c>
      <c r="E26" s="47">
        <v>1</v>
      </c>
      <c r="F26" s="278">
        <v>2700000</v>
      </c>
      <c r="G26" s="26">
        <f>+F26*E26</f>
        <v>2700000</v>
      </c>
      <c r="H26" s="35"/>
      <c r="I26" s="175"/>
      <c r="J26" s="2" t="s">
        <v>137</v>
      </c>
      <c r="K26" s="2"/>
    </row>
    <row r="27" spans="2:23" x14ac:dyDescent="0.3">
      <c r="B27" s="1">
        <v>19</v>
      </c>
      <c r="C27" s="169" t="s">
        <v>102</v>
      </c>
      <c r="D27" s="195">
        <v>5</v>
      </c>
      <c r="E27" s="47">
        <v>1</v>
      </c>
      <c r="F27" s="277">
        <v>7500000</v>
      </c>
      <c r="G27" s="26">
        <f>+F27*E27</f>
        <v>7500000</v>
      </c>
      <c r="H27" s="35"/>
      <c r="I27" s="174"/>
      <c r="J27" s="2" t="s">
        <v>138</v>
      </c>
      <c r="K27" s="2"/>
      <c r="L27" s="361"/>
      <c r="M27" s="361"/>
    </row>
    <row r="28" spans="2:23" x14ac:dyDescent="0.3">
      <c r="B28" s="1">
        <v>20</v>
      </c>
      <c r="C28" s="169" t="s">
        <v>55</v>
      </c>
      <c r="D28" s="195">
        <v>5</v>
      </c>
      <c r="E28" s="191">
        <v>1</v>
      </c>
      <c r="F28" s="279">
        <v>4000000</v>
      </c>
      <c r="G28" s="26">
        <f t="shared" ref="G28" si="14">+F28*E28</f>
        <v>4000000</v>
      </c>
      <c r="H28" s="207"/>
      <c r="I28" s="22"/>
      <c r="J28" s="23"/>
      <c r="K28" s="23"/>
    </row>
    <row r="29" spans="2:23" x14ac:dyDescent="0.3">
      <c r="B29" s="1">
        <v>21</v>
      </c>
      <c r="C29" s="179" t="s">
        <v>220</v>
      </c>
      <c r="D29" s="196"/>
      <c r="E29" s="177">
        <v>1</v>
      </c>
      <c r="F29" s="183">
        <f>12000000+8000000+5000000</f>
        <v>25000000</v>
      </c>
      <c r="G29" s="26">
        <f>+F29*E29</f>
        <v>25000000</v>
      </c>
      <c r="H29" s="35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</row>
    <row r="30" spans="2:23" s="35" customFormat="1" x14ac:dyDescent="0.3">
      <c r="C30" s="57"/>
      <c r="D30" s="197"/>
      <c r="E30" s="57"/>
      <c r="F30" s="57" t="s">
        <v>224</v>
      </c>
      <c r="G30" s="206"/>
      <c r="H30" s="22"/>
      <c r="I30" s="58"/>
      <c r="J30" s="23"/>
      <c r="W30" s="38" t="s">
        <v>50</v>
      </c>
    </row>
    <row r="31" spans="2:23" s="35" customFormat="1" x14ac:dyDescent="0.3">
      <c r="C31" s="56"/>
      <c r="D31" s="22"/>
      <c r="E31" s="178" t="s">
        <v>111</v>
      </c>
      <c r="F31" s="189"/>
      <c r="G31" s="100">
        <f>SUM(G9:G30)</f>
        <v>70705000</v>
      </c>
      <c r="H31" s="352" t="s">
        <v>111</v>
      </c>
      <c r="I31" s="352"/>
      <c r="J31" s="100">
        <f>SUM(J9:J23)</f>
        <v>0</v>
      </c>
      <c r="K31" s="352" t="s">
        <v>111</v>
      </c>
      <c r="L31" s="352"/>
      <c r="M31" s="100">
        <f>SUM(M9:M23)</f>
        <v>11674218.183878249</v>
      </c>
      <c r="N31" s="352" t="s">
        <v>111</v>
      </c>
      <c r="O31" s="352"/>
      <c r="P31" s="100">
        <f>SUM(P9:P23)</f>
        <v>0</v>
      </c>
      <c r="Q31" s="352" t="s">
        <v>111</v>
      </c>
      <c r="R31" s="352"/>
      <c r="S31" s="100">
        <f>SUM(S9:S23)</f>
        <v>0</v>
      </c>
      <c r="T31" s="352" t="s">
        <v>111</v>
      </c>
      <c r="U31" s="352"/>
      <c r="V31" s="100">
        <f>SUM(V9:V23)</f>
        <v>2398226.1808879329</v>
      </c>
      <c r="W31" s="85">
        <f>+SUM(G31+J31+M31+P31+S31+V31)</f>
        <v>84777444.364766181</v>
      </c>
    </row>
    <row r="32" spans="2:23" x14ac:dyDescent="0.3">
      <c r="I32" s="21"/>
    </row>
    <row r="33" spans="2:30" ht="22.5" customHeight="1" x14ac:dyDescent="0.4">
      <c r="B33" s="360" t="s">
        <v>58</v>
      </c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54"/>
      <c r="W33" s="54"/>
      <c r="X33" s="54"/>
      <c r="Y33" s="54"/>
      <c r="Z33" s="54"/>
      <c r="AA33" s="54"/>
      <c r="AB33" s="54"/>
      <c r="AC33" s="54"/>
      <c r="AD33" s="54"/>
    </row>
    <row r="34" spans="2:30" ht="22.8" x14ac:dyDescent="0.4">
      <c r="B34" s="35"/>
      <c r="C34" s="40"/>
      <c r="D34" s="193"/>
      <c r="E34" s="40"/>
      <c r="F34" s="40"/>
      <c r="G34" s="22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spans="2:30" s="3" customFormat="1" x14ac:dyDescent="0.3">
      <c r="B35" s="16"/>
      <c r="C35" s="16"/>
      <c r="D35" s="362" t="s">
        <v>74</v>
      </c>
      <c r="E35" s="364"/>
      <c r="F35" s="363"/>
      <c r="G35" s="339" t="s">
        <v>0</v>
      </c>
      <c r="H35" s="339"/>
      <c r="I35" s="339"/>
      <c r="J35" s="339" t="s">
        <v>1</v>
      </c>
      <c r="K35" s="339"/>
      <c r="L35" s="339"/>
      <c r="M35" s="339" t="s">
        <v>2</v>
      </c>
      <c r="N35" s="339"/>
      <c r="O35" s="339"/>
      <c r="P35" s="339" t="s">
        <v>3</v>
      </c>
      <c r="Q35" s="339"/>
      <c r="R35" s="339"/>
      <c r="S35" s="339" t="s">
        <v>4</v>
      </c>
      <c r="T35" s="339"/>
      <c r="U35" s="339"/>
      <c r="V35" s="16"/>
      <c r="W35" s="16"/>
      <c r="X35" s="16"/>
      <c r="Y35" s="16"/>
      <c r="Z35" s="16"/>
      <c r="AA35" s="16"/>
      <c r="AB35" s="16"/>
      <c r="AC35" s="16"/>
      <c r="AD35" s="16"/>
    </row>
    <row r="36" spans="2:30" x14ac:dyDescent="0.3">
      <c r="C36" s="264" t="s">
        <v>59</v>
      </c>
      <c r="D36" s="39" t="s">
        <v>112</v>
      </c>
      <c r="E36" s="265" t="s">
        <v>60</v>
      </c>
      <c r="F36" s="265" t="s">
        <v>61</v>
      </c>
      <c r="G36" s="39" t="s">
        <v>112</v>
      </c>
      <c r="H36" s="265" t="s">
        <v>60</v>
      </c>
      <c r="I36" s="265" t="s">
        <v>61</v>
      </c>
      <c r="J36" s="39" t="s">
        <v>112</v>
      </c>
      <c r="K36" s="265" t="s">
        <v>60</v>
      </c>
      <c r="L36" s="265" t="s">
        <v>61</v>
      </c>
      <c r="M36" s="39" t="s">
        <v>112</v>
      </c>
      <c r="N36" s="265" t="s">
        <v>60</v>
      </c>
      <c r="O36" s="265" t="s">
        <v>61</v>
      </c>
      <c r="P36" s="39" t="s">
        <v>112</v>
      </c>
      <c r="Q36" s="265" t="s">
        <v>60</v>
      </c>
      <c r="R36" s="265" t="s">
        <v>61</v>
      </c>
      <c r="S36" s="39" t="s">
        <v>112</v>
      </c>
      <c r="T36" s="265" t="s">
        <v>60</v>
      </c>
      <c r="U36" s="265" t="s">
        <v>61</v>
      </c>
      <c r="V36" s="266"/>
      <c r="W36" s="266"/>
    </row>
    <row r="37" spans="2:30" x14ac:dyDescent="0.3">
      <c r="B37" s="1">
        <v>1</v>
      </c>
      <c r="C37" s="36" t="s">
        <v>62</v>
      </c>
      <c r="D37" s="267">
        <f>+'PROYECCIONES Y ESTIMACIONES'!D32</f>
        <v>390000</v>
      </c>
      <c r="E37" s="26">
        <f>+'PROYECCIONES Y ESTIMACIONES'!R18</f>
        <v>267561.11111111112</v>
      </c>
      <c r="F37" s="26">
        <f>+D37*E37</f>
        <v>104348833333.33334</v>
      </c>
      <c r="G37" s="267">
        <f>+D37</f>
        <v>390000</v>
      </c>
      <c r="H37" s="26">
        <f>+E37*(1+G$3)</f>
        <v>284072.30727777776</v>
      </c>
      <c r="I37" s="26">
        <f>+G37*H37</f>
        <v>110788199838.33333</v>
      </c>
      <c r="J37" s="27">
        <f>+'PROYECCIONES Y ESTIMACIONES'!E32</f>
        <v>409500</v>
      </c>
      <c r="K37" s="26">
        <f>+H37*(1+J$3)</f>
        <v>300487.42555382411</v>
      </c>
      <c r="L37" s="26">
        <f>+J37*K37</f>
        <v>123049600764.29097</v>
      </c>
      <c r="M37" s="27">
        <f>+'PROYECCIONES Y ESTIMACIONES'!F32</f>
        <v>429975</v>
      </c>
      <c r="N37" s="26">
        <f>+K37*(1+M$3)</f>
        <v>318043.55363551906</v>
      </c>
      <c r="O37" s="26">
        <f>+M37*N37</f>
        <v>136750776974.43231</v>
      </c>
      <c r="P37" s="27">
        <f>+'PROYECCIONES Y ESTIMACIONES'!G32</f>
        <v>451474</v>
      </c>
      <c r="Q37" s="26">
        <f>+N37*(1+P$3)</f>
        <v>336773.21802000317</v>
      </c>
      <c r="R37" s="26">
        <f>+P37*Q37</f>
        <v>152044351832.36292</v>
      </c>
      <c r="S37" s="27">
        <f>+'PROYECCIONES Y ESTIMACIONES'!H32</f>
        <v>474048</v>
      </c>
      <c r="T37" s="26">
        <f>+Q37*(1+S$3)</f>
        <v>356484.47869673988</v>
      </c>
      <c r="U37" s="26">
        <f>+S37*T37</f>
        <v>168990754157.23215</v>
      </c>
    </row>
    <row r="38" spans="2:30" x14ac:dyDescent="0.3">
      <c r="B38" s="1">
        <v>2</v>
      </c>
      <c r="C38" s="36" t="s">
        <v>17</v>
      </c>
      <c r="D38" s="25">
        <f>+'PROYECCIONES Y ESTIMACIONES'!D33</f>
        <v>390000</v>
      </c>
      <c r="E38" s="26">
        <v>1800</v>
      </c>
      <c r="F38" s="26">
        <f>+D38*E38</f>
        <v>702000000</v>
      </c>
      <c r="G38" s="267">
        <f t="shared" ref="G38:G47" si="15">+D38</f>
        <v>390000</v>
      </c>
      <c r="H38" s="26">
        <f t="shared" ref="H38:H47" si="16">+E38*(1+G$3)</f>
        <v>1911.078</v>
      </c>
      <c r="I38" s="26">
        <f t="shared" ref="I38:I47" si="17">+G38*H38</f>
        <v>745320420</v>
      </c>
      <c r="J38" s="27">
        <f>+'PROYECCIONES Y ESTIMACIONES'!E33</f>
        <v>409500</v>
      </c>
      <c r="K38" s="26">
        <f t="shared" ref="K38:K48" si="18">+H38*(1+J$3)</f>
        <v>2021.5096422299998</v>
      </c>
      <c r="L38" s="26">
        <f t="shared" ref="L38:L46" si="19">+J38*K38</f>
        <v>827808198.49318492</v>
      </c>
      <c r="M38" s="27">
        <f>+'PROYECCIONES Y ESTIMACIONES'!F33</f>
        <v>429975</v>
      </c>
      <c r="N38" s="26">
        <f t="shared" ref="N38:N48" si="20">+K38*(1+M$3)</f>
        <v>2139.6173538321086</v>
      </c>
      <c r="O38" s="26">
        <f t="shared" ref="O38:O46" si="21">+M38*N38</f>
        <v>919981971.71396089</v>
      </c>
      <c r="P38" s="27">
        <f>+'PROYECCIONES Y ESTIMACIONES'!G33</f>
        <v>451474</v>
      </c>
      <c r="Q38" s="26">
        <f t="shared" ref="Q38:Q48" si="22">+N38*(1+P$3)</f>
        <v>2265.6199547036199</v>
      </c>
      <c r="R38" s="26">
        <f t="shared" ref="R38:R46" si="23">+P38*Q38</f>
        <v>1022868503.4298621</v>
      </c>
      <c r="S38" s="27">
        <f>+'PROYECCIONES Y ESTIMACIONES'!H33</f>
        <v>474048</v>
      </c>
      <c r="T38" s="26">
        <f t="shared" ref="T38:T48" si="24">+Q38*(1+S$3)</f>
        <v>2398.226180887933</v>
      </c>
      <c r="U38" s="26">
        <f t="shared" ref="U38:U46" si="25">+S38*T38</f>
        <v>1136874324.5975628</v>
      </c>
    </row>
    <row r="39" spans="2:30" x14ac:dyDescent="0.3">
      <c r="B39" s="1">
        <v>3</v>
      </c>
      <c r="C39" s="36" t="s">
        <v>18</v>
      </c>
      <c r="D39" s="25">
        <f>+'PROYECCIONES Y ESTIMACIONES'!D34</f>
        <v>390000</v>
      </c>
      <c r="E39" s="26">
        <v>200</v>
      </c>
      <c r="F39" s="26">
        <f t="shared" ref="F39:F47" si="26">+D39*E39</f>
        <v>78000000</v>
      </c>
      <c r="G39" s="267">
        <f t="shared" si="15"/>
        <v>390000</v>
      </c>
      <c r="H39" s="26">
        <f t="shared" si="16"/>
        <v>212.34199999999998</v>
      </c>
      <c r="I39" s="26">
        <f t="shared" si="17"/>
        <v>82813380</v>
      </c>
      <c r="J39" s="27">
        <f>+'PROYECCIONES Y ESTIMACIONES'!E34</f>
        <v>409500</v>
      </c>
      <c r="K39" s="26">
        <f t="shared" si="18"/>
        <v>224.61218246999996</v>
      </c>
      <c r="L39" s="26">
        <f t="shared" si="19"/>
        <v>91978688.721464992</v>
      </c>
      <c r="M39" s="27">
        <f>+'PROYECCIONES Y ESTIMACIONES'!F34</f>
        <v>429975</v>
      </c>
      <c r="N39" s="26">
        <f t="shared" si="20"/>
        <v>237.73526153690096</v>
      </c>
      <c r="O39" s="26">
        <f t="shared" si="21"/>
        <v>102220219.079329</v>
      </c>
      <c r="P39" s="27">
        <f>+'PROYECCIONES Y ESTIMACIONES'!G34</f>
        <v>451474</v>
      </c>
      <c r="Q39" s="26">
        <f t="shared" si="22"/>
        <v>251.73555052262444</v>
      </c>
      <c r="R39" s="26">
        <f t="shared" si="23"/>
        <v>113652055.93665135</v>
      </c>
      <c r="S39" s="27">
        <f>+'PROYECCIONES Y ESTIMACIONES'!H34</f>
        <v>474048</v>
      </c>
      <c r="T39" s="26">
        <f t="shared" si="24"/>
        <v>266.46957565421479</v>
      </c>
      <c r="U39" s="26">
        <f t="shared" si="25"/>
        <v>126319369.39972921</v>
      </c>
    </row>
    <row r="40" spans="2:30" x14ac:dyDescent="0.3">
      <c r="B40" s="1">
        <v>4</v>
      </c>
      <c r="C40" s="36" t="s">
        <v>19</v>
      </c>
      <c r="D40" s="25">
        <f>+'PROYECCIONES Y ESTIMACIONES'!D35</f>
        <v>390000</v>
      </c>
      <c r="E40" s="26">
        <v>150</v>
      </c>
      <c r="F40" s="26">
        <f t="shared" si="26"/>
        <v>58500000</v>
      </c>
      <c r="G40" s="267">
        <f t="shared" si="15"/>
        <v>390000</v>
      </c>
      <c r="H40" s="26">
        <f t="shared" si="16"/>
        <v>159.25649999999999</v>
      </c>
      <c r="I40" s="26">
        <f t="shared" si="17"/>
        <v>62110034.999999993</v>
      </c>
      <c r="J40" s="27">
        <f>+'PROYECCIONES Y ESTIMACIONES'!E35</f>
        <v>409500</v>
      </c>
      <c r="K40" s="26">
        <f t="shared" si="18"/>
        <v>168.4591368525</v>
      </c>
      <c r="L40" s="26">
        <f t="shared" si="19"/>
        <v>68984016.541098744</v>
      </c>
      <c r="M40" s="27">
        <f>+'PROYECCIONES Y ESTIMACIONES'!F35</f>
        <v>429975</v>
      </c>
      <c r="N40" s="26">
        <f t="shared" si="20"/>
        <v>178.30144615267574</v>
      </c>
      <c r="O40" s="26">
        <f t="shared" si="21"/>
        <v>76665164.309496745</v>
      </c>
      <c r="P40" s="27">
        <f>+'PROYECCIONES Y ESTIMACIONES'!G35</f>
        <v>451474</v>
      </c>
      <c r="Q40" s="26">
        <f t="shared" si="22"/>
        <v>188.80166289196833</v>
      </c>
      <c r="R40" s="26">
        <f t="shared" si="23"/>
        <v>85239041.952488512</v>
      </c>
      <c r="S40" s="27">
        <f>+'PROYECCIONES Y ESTIMACIONES'!H35</f>
        <v>474048</v>
      </c>
      <c r="T40" s="26">
        <f t="shared" si="24"/>
        <v>199.85218174066108</v>
      </c>
      <c r="U40" s="26">
        <f t="shared" si="25"/>
        <v>94739527.049796909</v>
      </c>
    </row>
    <row r="41" spans="2:30" x14ac:dyDescent="0.3">
      <c r="B41" s="1">
        <v>5</v>
      </c>
      <c r="C41" s="36" t="s">
        <v>20</v>
      </c>
      <c r="D41" s="25">
        <f>+'PROYECCIONES Y ESTIMACIONES'!D36</f>
        <v>390000</v>
      </c>
      <c r="E41" s="26">
        <v>500</v>
      </c>
      <c r="F41" s="26">
        <f t="shared" si="26"/>
        <v>195000000</v>
      </c>
      <c r="G41" s="267">
        <f t="shared" si="15"/>
        <v>390000</v>
      </c>
      <c r="H41" s="26">
        <f t="shared" si="16"/>
        <v>530.85500000000002</v>
      </c>
      <c r="I41" s="26">
        <f t="shared" si="17"/>
        <v>207033450</v>
      </c>
      <c r="J41" s="27">
        <f>+'PROYECCIONES Y ESTIMACIONES'!E36</f>
        <v>409500</v>
      </c>
      <c r="K41" s="26">
        <f t="shared" si="18"/>
        <v>561.53045617500004</v>
      </c>
      <c r="L41" s="26">
        <f t="shared" si="19"/>
        <v>229946721.80366251</v>
      </c>
      <c r="M41" s="27">
        <f>+'PROYECCIONES Y ESTIMACIONES'!F36</f>
        <v>429975</v>
      </c>
      <c r="N41" s="26">
        <f t="shared" si="20"/>
        <v>594.3381538422525</v>
      </c>
      <c r="O41" s="26">
        <f t="shared" si="21"/>
        <v>255550547.6983225</v>
      </c>
      <c r="P41" s="27">
        <f>+'PROYECCIONES Y ESTIMACIONES'!G36</f>
        <v>451474</v>
      </c>
      <c r="Q41" s="26">
        <f t="shared" si="22"/>
        <v>629.33887630656113</v>
      </c>
      <c r="R41" s="26">
        <f t="shared" si="23"/>
        <v>284130139.84162837</v>
      </c>
      <c r="S41" s="27">
        <f>+'PROYECCIONES Y ESTIMACIONES'!H36</f>
        <v>474048</v>
      </c>
      <c r="T41" s="26">
        <f t="shared" si="24"/>
        <v>666.17393913553701</v>
      </c>
      <c r="U41" s="26">
        <f t="shared" si="25"/>
        <v>315798423.49932307</v>
      </c>
    </row>
    <row r="42" spans="2:30" x14ac:dyDescent="0.3">
      <c r="B42" s="1">
        <v>6</v>
      </c>
      <c r="C42" s="36" t="s">
        <v>21</v>
      </c>
      <c r="D42" s="25">
        <f>+'PROYECCIONES Y ESTIMACIONES'!D37</f>
        <v>390000</v>
      </c>
      <c r="E42" s="26">
        <v>100</v>
      </c>
      <c r="F42" s="26">
        <f t="shared" si="26"/>
        <v>39000000</v>
      </c>
      <c r="G42" s="267">
        <f t="shared" si="15"/>
        <v>390000</v>
      </c>
      <c r="H42" s="26">
        <f t="shared" si="16"/>
        <v>106.17099999999999</v>
      </c>
      <c r="I42" s="26">
        <f>+G42*H42</f>
        <v>41406690</v>
      </c>
      <c r="J42" s="27">
        <f>+'PROYECCIONES Y ESTIMACIONES'!E37</f>
        <v>409500</v>
      </c>
      <c r="K42" s="26">
        <f t="shared" si="18"/>
        <v>112.30609123499998</v>
      </c>
      <c r="L42" s="26">
        <f t="shared" si="19"/>
        <v>45989344.360732496</v>
      </c>
      <c r="M42" s="27">
        <f>+'PROYECCIONES Y ESTIMACIONES'!F37</f>
        <v>429975</v>
      </c>
      <c r="N42" s="26">
        <f t="shared" si="20"/>
        <v>118.86763076845048</v>
      </c>
      <c r="O42" s="26">
        <f t="shared" si="21"/>
        <v>51110109.539664499</v>
      </c>
      <c r="P42" s="27">
        <f>+'PROYECCIONES Y ESTIMACIONES'!G37</f>
        <v>451474</v>
      </c>
      <c r="Q42" s="26">
        <f t="shared" si="22"/>
        <v>125.86777526131222</v>
      </c>
      <c r="R42" s="26">
        <f t="shared" si="23"/>
        <v>56826027.968325675</v>
      </c>
      <c r="S42" s="27">
        <f>+'PROYECCIONES Y ESTIMACIONES'!H37</f>
        <v>474048</v>
      </c>
      <c r="T42" s="26">
        <f t="shared" si="24"/>
        <v>133.2347878271074</v>
      </c>
      <c r="U42" s="26">
        <f t="shared" si="25"/>
        <v>63159684.699864604</v>
      </c>
    </row>
    <row r="43" spans="2:30" x14ac:dyDescent="0.3">
      <c r="B43" s="1">
        <v>7</v>
      </c>
      <c r="C43" s="36" t="s">
        <v>22</v>
      </c>
      <c r="D43" s="25">
        <f>+'PROYECCIONES Y ESTIMACIONES'!D38</f>
        <v>390000</v>
      </c>
      <c r="E43" s="26">
        <v>80</v>
      </c>
      <c r="F43" s="26">
        <f t="shared" si="26"/>
        <v>31200000</v>
      </c>
      <c r="G43" s="267">
        <f t="shared" si="15"/>
        <v>390000</v>
      </c>
      <c r="H43" s="26">
        <f t="shared" si="16"/>
        <v>84.936799999999991</v>
      </c>
      <c r="I43" s="26">
        <f t="shared" si="17"/>
        <v>33125351.999999996</v>
      </c>
      <c r="J43" s="27">
        <f>+'PROYECCIONES Y ESTIMACIONES'!E38</f>
        <v>409500</v>
      </c>
      <c r="K43" s="26">
        <f t="shared" si="18"/>
        <v>89.844872987999992</v>
      </c>
      <c r="L43" s="26">
        <f t="shared" si="19"/>
        <v>36791475.488585994</v>
      </c>
      <c r="M43" s="27">
        <f>+'PROYECCIONES Y ESTIMACIONES'!F38</f>
        <v>429975</v>
      </c>
      <c r="N43" s="26">
        <f t="shared" si="20"/>
        <v>95.094104614760383</v>
      </c>
      <c r="O43" s="26">
        <f t="shared" si="21"/>
        <v>40888087.631731592</v>
      </c>
      <c r="P43" s="27">
        <f>+'PROYECCIONES Y ESTIMACIONES'!G38</f>
        <v>451474</v>
      </c>
      <c r="Q43" s="26">
        <f t="shared" si="22"/>
        <v>100.69422020904977</v>
      </c>
      <c r="R43" s="26">
        <f t="shared" si="23"/>
        <v>45460822.374660537</v>
      </c>
      <c r="S43" s="27">
        <f>+'PROYECCIONES Y ESTIMACIONES'!H38</f>
        <v>474048</v>
      </c>
      <c r="T43" s="26">
        <f t="shared" si="24"/>
        <v>106.58783026168591</v>
      </c>
      <c r="U43" s="26">
        <f t="shared" si="25"/>
        <v>50527747.759891681</v>
      </c>
    </row>
    <row r="44" spans="2:30" x14ac:dyDescent="0.3">
      <c r="B44" s="1">
        <v>8</v>
      </c>
      <c r="C44" s="36" t="s">
        <v>23</v>
      </c>
      <c r="D44" s="25">
        <f>+'PROYECCIONES Y ESTIMACIONES'!D39</f>
        <v>390000</v>
      </c>
      <c r="E44" s="26">
        <v>120</v>
      </c>
      <c r="F44" s="26">
        <f t="shared" si="26"/>
        <v>46800000</v>
      </c>
      <c r="G44" s="267">
        <f t="shared" si="15"/>
        <v>390000</v>
      </c>
      <c r="H44" s="26">
        <f t="shared" si="16"/>
        <v>127.40519999999999</v>
      </c>
      <c r="I44" s="26">
        <f t="shared" si="17"/>
        <v>49688028</v>
      </c>
      <c r="J44" s="27">
        <f>+'PROYECCIONES Y ESTIMACIONES'!E39</f>
        <v>409500</v>
      </c>
      <c r="K44" s="26">
        <f t="shared" si="18"/>
        <v>134.767309482</v>
      </c>
      <c r="L44" s="26">
        <f t="shared" si="19"/>
        <v>55187213.232878998</v>
      </c>
      <c r="M44" s="27">
        <f>+'PROYECCIONES Y ESTIMACIONES'!F39</f>
        <v>429975</v>
      </c>
      <c r="N44" s="26">
        <f t="shared" si="20"/>
        <v>142.6411569221406</v>
      </c>
      <c r="O44" s="26">
        <f t="shared" si="21"/>
        <v>61332131.447597399</v>
      </c>
      <c r="P44" s="27">
        <f>+'PROYECCIONES Y ESTIMACIONES'!G39</f>
        <v>451474</v>
      </c>
      <c r="Q44" s="26">
        <f t="shared" si="22"/>
        <v>151.04133031357466</v>
      </c>
      <c r="R44" s="26">
        <f t="shared" si="23"/>
        <v>68191233.561990812</v>
      </c>
      <c r="S44" s="27">
        <f>+'PROYECCIONES Y ESTIMACIONES'!H39</f>
        <v>474048</v>
      </c>
      <c r="T44" s="26">
        <f t="shared" si="24"/>
        <v>159.88174539252887</v>
      </c>
      <c r="U44" s="26">
        <f t="shared" si="25"/>
        <v>75791621.639837533</v>
      </c>
    </row>
    <row r="45" spans="2:30" x14ac:dyDescent="0.3">
      <c r="B45" s="1">
        <v>9</v>
      </c>
      <c r="C45" s="36" t="s">
        <v>24</v>
      </c>
      <c r="D45" s="267">
        <f>+'PROYECCIONES Y ESTIMACIONES'!D40</f>
        <v>12000</v>
      </c>
      <c r="E45" s="26">
        <v>2000</v>
      </c>
      <c r="F45" s="26">
        <f t="shared" si="26"/>
        <v>24000000</v>
      </c>
      <c r="G45" s="267">
        <f t="shared" si="15"/>
        <v>12000</v>
      </c>
      <c r="H45" s="26">
        <f t="shared" si="16"/>
        <v>2123.42</v>
      </c>
      <c r="I45" s="26">
        <f t="shared" si="17"/>
        <v>25481040</v>
      </c>
      <c r="J45" s="27">
        <f>+'PROYECCIONES Y ESTIMACIONES'!E40</f>
        <v>12600</v>
      </c>
      <c r="K45" s="26">
        <f t="shared" si="18"/>
        <v>2246.1218247000002</v>
      </c>
      <c r="L45" s="26">
        <f t="shared" si="19"/>
        <v>28301134.991220001</v>
      </c>
      <c r="M45" s="27">
        <f>+'PROYECCIONES Y ESTIMACIONES'!F40</f>
        <v>13230</v>
      </c>
      <c r="N45" s="26">
        <f t="shared" si="20"/>
        <v>2377.35261536901</v>
      </c>
      <c r="O45" s="26">
        <f t="shared" si="21"/>
        <v>31452375.101332001</v>
      </c>
      <c r="P45" s="27">
        <f>+'PROYECCIONES Y ESTIMACIONES'!G40</f>
        <v>13892</v>
      </c>
      <c r="Q45" s="26">
        <f t="shared" si="22"/>
        <v>2517.3555052262445</v>
      </c>
      <c r="R45" s="26">
        <f t="shared" si="23"/>
        <v>34971102.678602986</v>
      </c>
      <c r="S45" s="27">
        <f>+'PROYECCIONES Y ESTIMACIONES'!H40</f>
        <v>14587</v>
      </c>
      <c r="T45" s="26">
        <f t="shared" si="24"/>
        <v>2664.695756542148</v>
      </c>
      <c r="U45" s="26">
        <f t="shared" si="25"/>
        <v>38869917.000680313</v>
      </c>
    </row>
    <row r="46" spans="2:30" x14ac:dyDescent="0.3">
      <c r="B46" s="1">
        <v>10</v>
      </c>
      <c r="C46" s="36" t="s">
        <v>25</v>
      </c>
      <c r="D46" s="25">
        <f>+'PROYECCIONES Y ESTIMACIONES'!D41</f>
        <v>6000</v>
      </c>
      <c r="E46" s="26">
        <v>1500</v>
      </c>
      <c r="F46" s="26">
        <f t="shared" si="26"/>
        <v>9000000</v>
      </c>
      <c r="G46" s="267">
        <f t="shared" si="15"/>
        <v>6000</v>
      </c>
      <c r="H46" s="26">
        <f t="shared" si="16"/>
        <v>1592.5649999999998</v>
      </c>
      <c r="I46" s="26">
        <f t="shared" si="17"/>
        <v>9555389.9999999981</v>
      </c>
      <c r="J46" s="27">
        <f>+'PROYECCIONES Y ESTIMACIONES'!E41</f>
        <v>6300</v>
      </c>
      <c r="K46" s="26">
        <f>+H46*(1+J$3)</f>
        <v>1684.5913685249998</v>
      </c>
      <c r="L46" s="26">
        <f t="shared" si="19"/>
        <v>10612925.621707499</v>
      </c>
      <c r="M46" s="27">
        <f>+'PROYECCIONES Y ESTIMACIONES'!F41</f>
        <v>6615</v>
      </c>
      <c r="N46" s="26">
        <f t="shared" si="20"/>
        <v>1783.0144615267573</v>
      </c>
      <c r="O46" s="26">
        <f t="shared" si="21"/>
        <v>11794640.6629995</v>
      </c>
      <c r="P46" s="27">
        <f>+'PROYECCIONES Y ESTIMACIONES'!G41</f>
        <v>6946</v>
      </c>
      <c r="Q46" s="26">
        <f t="shared" si="22"/>
        <v>1888.0166289196832</v>
      </c>
      <c r="R46" s="26">
        <f t="shared" si="23"/>
        <v>13114163.504476119</v>
      </c>
      <c r="S46" s="27">
        <f>+'PROYECCIONES Y ESTIMACIONES'!H41</f>
        <v>7294</v>
      </c>
      <c r="T46" s="26">
        <f t="shared" si="24"/>
        <v>1998.5218174066108</v>
      </c>
      <c r="U46" s="26">
        <f t="shared" si="25"/>
        <v>14577218.13616382</v>
      </c>
    </row>
    <row r="47" spans="2:30" s="35" customFormat="1" x14ac:dyDescent="0.3">
      <c r="B47" s="1">
        <v>11</v>
      </c>
      <c r="C47" s="36" t="s">
        <v>95</v>
      </c>
      <c r="D47" s="25">
        <f>+'PROYECCIONES Y ESTIMACIONES'!D42</f>
        <v>390000</v>
      </c>
      <c r="E47" s="26">
        <v>10000</v>
      </c>
      <c r="F47" s="26">
        <f t="shared" si="26"/>
        <v>3900000000</v>
      </c>
      <c r="G47" s="267">
        <f t="shared" si="15"/>
        <v>390000</v>
      </c>
      <c r="H47" s="26">
        <f t="shared" si="16"/>
        <v>10617.099999999999</v>
      </c>
      <c r="I47" s="26">
        <f t="shared" si="17"/>
        <v>4140668999.9999995</v>
      </c>
      <c r="J47" s="27">
        <f>+'PROYECCIONES Y ESTIMACIONES'!E42</f>
        <v>409500</v>
      </c>
      <c r="K47" s="26">
        <f t="shared" si="18"/>
        <v>11230.609123499999</v>
      </c>
      <c r="L47" s="26">
        <f>+J47*K47</f>
        <v>4598934436.0732498</v>
      </c>
      <c r="M47" s="27">
        <f>+'PROYECCIONES Y ESTIMACIONES'!F42</f>
        <v>429975</v>
      </c>
      <c r="N47" s="26">
        <f t="shared" si="20"/>
        <v>11886.763076845047</v>
      </c>
      <c r="O47" s="26">
        <f>+M47*N47</f>
        <v>5111010953.9664488</v>
      </c>
      <c r="P47" s="27">
        <f>+'PROYECCIONES Y ESTIMACIONES'!G42</f>
        <v>451474</v>
      </c>
      <c r="Q47" s="26">
        <f t="shared" si="22"/>
        <v>12586.77752613122</v>
      </c>
      <c r="R47" s="26">
        <f>+P47*Q47</f>
        <v>5682602796.8325663</v>
      </c>
      <c r="S47" s="27">
        <f>+'PROYECCIONES Y ESTIMACIONES'!H42</f>
        <v>474048</v>
      </c>
      <c r="T47" s="26">
        <f t="shared" si="24"/>
        <v>13323.478782710738</v>
      </c>
      <c r="U47" s="26">
        <f>+S47*T47</f>
        <v>6315968469.9864597</v>
      </c>
    </row>
    <row r="48" spans="2:30" s="35" customFormat="1" x14ac:dyDescent="0.3">
      <c r="C48" s="55"/>
      <c r="D48" s="198"/>
      <c r="E48" s="23"/>
      <c r="F48" s="55"/>
      <c r="G48" s="22"/>
      <c r="H48" s="23"/>
      <c r="I48" s="23"/>
      <c r="K48" s="23">
        <f t="shared" si="18"/>
        <v>0</v>
      </c>
      <c r="L48" s="23"/>
      <c r="N48" s="23">
        <f t="shared" si="20"/>
        <v>0</v>
      </c>
      <c r="O48" s="23"/>
      <c r="Q48" s="23">
        <f t="shared" si="22"/>
        <v>0</v>
      </c>
      <c r="R48" s="23"/>
      <c r="T48" s="23">
        <f t="shared" si="24"/>
        <v>0</v>
      </c>
      <c r="U48" s="23"/>
      <c r="V48" s="38"/>
    </row>
    <row r="49" spans="2:30" s="35" customFormat="1" x14ac:dyDescent="0.3">
      <c r="C49" s="56"/>
      <c r="D49" s="22"/>
      <c r="E49" s="56"/>
      <c r="F49" s="213">
        <f>+SUM(F37:F47)</f>
        <v>109432333333.33334</v>
      </c>
      <c r="G49" s="352" t="s">
        <v>113</v>
      </c>
      <c r="H49" s="352"/>
      <c r="I49" s="99">
        <f>SUM(I37:I47)</f>
        <v>116185402623.33333</v>
      </c>
      <c r="J49" s="353" t="s">
        <v>113</v>
      </c>
      <c r="K49" s="354"/>
      <c r="L49" s="99">
        <f>SUM(L37:L47)</f>
        <v>129044134919.61874</v>
      </c>
      <c r="M49" s="353" t="s">
        <v>113</v>
      </c>
      <c r="N49" s="354"/>
      <c r="O49" s="99">
        <f>SUM(O37:O47)</f>
        <v>143412783175.58322</v>
      </c>
      <c r="P49" s="353" t="s">
        <v>113</v>
      </c>
      <c r="Q49" s="354"/>
      <c r="R49" s="99">
        <f>SUM(R37:R47)</f>
        <v>159451407720.44415</v>
      </c>
      <c r="S49" s="353" t="s">
        <v>113</v>
      </c>
      <c r="T49" s="354"/>
      <c r="U49" s="99">
        <f>SUM(U37:U47)</f>
        <v>177223380461.00143</v>
      </c>
      <c r="V49" s="85">
        <f>+SUM(I49+L49+O49+R49+U49)</f>
        <v>725317108899.98083</v>
      </c>
    </row>
    <row r="50" spans="2:30" x14ac:dyDescent="0.3">
      <c r="H50" s="21"/>
      <c r="I50" s="21"/>
      <c r="K50" s="24"/>
      <c r="M50" s="24"/>
      <c r="O50" s="24"/>
      <c r="Q50" s="24"/>
    </row>
    <row r="51" spans="2:30" x14ac:dyDescent="0.3">
      <c r="H51" s="21"/>
      <c r="I51" s="21"/>
      <c r="K51" s="24"/>
      <c r="M51" s="24"/>
      <c r="O51" s="24"/>
      <c r="Q51" s="24"/>
    </row>
    <row r="52" spans="2:30" ht="22.5" customHeight="1" x14ac:dyDescent="0.4">
      <c r="B52" s="360" t="s">
        <v>63</v>
      </c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54"/>
      <c r="W52" s="54"/>
      <c r="X52" s="54"/>
      <c r="Y52" s="54"/>
      <c r="Z52" s="54"/>
      <c r="AA52" s="54"/>
      <c r="AB52" s="54"/>
      <c r="AC52" s="54"/>
      <c r="AD52" s="54"/>
    </row>
    <row r="53" spans="2:30" ht="22.8" x14ac:dyDescent="0.4">
      <c r="B53" s="35"/>
      <c r="C53" s="40"/>
      <c r="D53" s="193"/>
      <c r="E53" s="40"/>
      <c r="F53" s="40"/>
      <c r="G53" s="22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 spans="2:30" x14ac:dyDescent="0.3">
      <c r="E54" s="362" t="s">
        <v>74</v>
      </c>
      <c r="F54" s="363"/>
      <c r="G54" s="339" t="s">
        <v>0</v>
      </c>
      <c r="H54" s="339"/>
      <c r="I54" s="339"/>
      <c r="J54" s="339" t="s">
        <v>1</v>
      </c>
      <c r="K54" s="339"/>
      <c r="L54" s="339"/>
      <c r="M54" s="339" t="s">
        <v>2</v>
      </c>
      <c r="N54" s="339"/>
      <c r="O54" s="339"/>
      <c r="P54" s="339" t="s">
        <v>3</v>
      </c>
      <c r="Q54" s="339"/>
      <c r="R54" s="339"/>
      <c r="S54" s="339" t="s">
        <v>4</v>
      </c>
      <c r="T54" s="339"/>
      <c r="U54" s="339"/>
    </row>
    <row r="55" spans="2:30" x14ac:dyDescent="0.3">
      <c r="B55" s="1">
        <v>1</v>
      </c>
      <c r="C55" s="36" t="s">
        <v>64</v>
      </c>
      <c r="D55" s="25" t="s">
        <v>65</v>
      </c>
      <c r="E55" s="273">
        <v>3000000</v>
      </c>
      <c r="F55" s="37">
        <f t="shared" ref="F55:F61" si="27">+E55*12</f>
        <v>36000000</v>
      </c>
      <c r="G55" s="343">
        <f>+F55*(1+G$3)</f>
        <v>38221560</v>
      </c>
      <c r="H55" s="344"/>
      <c r="I55" s="345"/>
      <c r="J55" s="343">
        <f>+G55*(1+J$3)</f>
        <v>40430192.844599999</v>
      </c>
      <c r="K55" s="344"/>
      <c r="L55" s="345"/>
      <c r="M55" s="343">
        <f>+J55*(1+M$3)^1</f>
        <v>42792347.076642178</v>
      </c>
      <c r="N55" s="344"/>
      <c r="O55" s="345"/>
      <c r="P55" s="343">
        <f>+M55*(1+P$3)^1</f>
        <v>45312399.094072402</v>
      </c>
      <c r="Q55" s="344"/>
      <c r="R55" s="345"/>
      <c r="S55" s="343">
        <f>+P55*(1+S$3)^1</f>
        <v>47964523.617758662</v>
      </c>
      <c r="T55" s="344"/>
      <c r="U55" s="345"/>
    </row>
    <row r="56" spans="2:30" x14ac:dyDescent="0.3">
      <c r="B56" s="1">
        <v>2</v>
      </c>
      <c r="C56" s="36" t="s">
        <v>104</v>
      </c>
      <c r="D56" s="25" t="s">
        <v>65</v>
      </c>
      <c r="E56" s="273">
        <v>600000</v>
      </c>
      <c r="F56" s="37">
        <f t="shared" si="27"/>
        <v>7200000</v>
      </c>
      <c r="G56" s="343">
        <f t="shared" ref="G56:G62" si="28">+F56*(1+G$3)</f>
        <v>7644311.9999999991</v>
      </c>
      <c r="H56" s="344"/>
      <c r="I56" s="345"/>
      <c r="J56" s="343">
        <f t="shared" ref="J56:J62" si="29">+G56*(1+J$3)</f>
        <v>8086038.5689199986</v>
      </c>
      <c r="K56" s="344"/>
      <c r="L56" s="345"/>
      <c r="M56" s="343">
        <f t="shared" ref="M56:M62" si="30">+J56*(1+M$3)^1</f>
        <v>8558469.4153284337</v>
      </c>
      <c r="N56" s="344"/>
      <c r="O56" s="345"/>
      <c r="P56" s="343">
        <f t="shared" ref="P56:P61" si="31">+M56*(1+P$3)^1</f>
        <v>9062479.8188144788</v>
      </c>
      <c r="Q56" s="344"/>
      <c r="R56" s="345"/>
      <c r="S56" s="343">
        <f t="shared" ref="S56:S62" si="32">+P56*(1+S$3)^1</f>
        <v>9592904.7235517316</v>
      </c>
      <c r="T56" s="344"/>
      <c r="U56" s="345"/>
    </row>
    <row r="57" spans="2:30" x14ac:dyDescent="0.3">
      <c r="B57" s="1">
        <v>3</v>
      </c>
      <c r="C57" s="36" t="s">
        <v>66</v>
      </c>
      <c r="D57" s="25" t="s">
        <v>65</v>
      </c>
      <c r="E57" s="273">
        <v>700000</v>
      </c>
      <c r="F57" s="37">
        <f t="shared" si="27"/>
        <v>8400000</v>
      </c>
      <c r="G57" s="343">
        <f t="shared" si="28"/>
        <v>8918364</v>
      </c>
      <c r="H57" s="344"/>
      <c r="I57" s="345"/>
      <c r="J57" s="343">
        <f t="shared" si="29"/>
        <v>9433711.6637399998</v>
      </c>
      <c r="K57" s="344"/>
      <c r="L57" s="345"/>
      <c r="M57" s="343">
        <f t="shared" si="30"/>
        <v>9984880.9845498409</v>
      </c>
      <c r="N57" s="344"/>
      <c r="O57" s="345"/>
      <c r="P57" s="343">
        <f t="shared" si="31"/>
        <v>10572893.121950226</v>
      </c>
      <c r="Q57" s="344"/>
      <c r="R57" s="345"/>
      <c r="S57" s="343">
        <f t="shared" si="32"/>
        <v>11191722.177477021</v>
      </c>
      <c r="T57" s="344"/>
      <c r="U57" s="345"/>
    </row>
    <row r="58" spans="2:30" x14ac:dyDescent="0.3">
      <c r="B58" s="1">
        <v>4</v>
      </c>
      <c r="C58" s="36" t="s">
        <v>67</v>
      </c>
      <c r="D58" s="25" t="s">
        <v>65</v>
      </c>
      <c r="E58" s="273">
        <v>350000</v>
      </c>
      <c r="F58" s="37">
        <f t="shared" si="27"/>
        <v>4200000</v>
      </c>
      <c r="G58" s="343">
        <f t="shared" si="28"/>
        <v>4459182</v>
      </c>
      <c r="H58" s="344"/>
      <c r="I58" s="345"/>
      <c r="J58" s="343">
        <f t="shared" si="29"/>
        <v>4716855.8318699999</v>
      </c>
      <c r="K58" s="344"/>
      <c r="L58" s="345"/>
      <c r="M58" s="343">
        <f t="shared" si="30"/>
        <v>4992440.4922749205</v>
      </c>
      <c r="N58" s="344"/>
      <c r="O58" s="345"/>
      <c r="P58" s="343">
        <f t="shared" si="31"/>
        <v>5286446.560975113</v>
      </c>
      <c r="Q58" s="344"/>
      <c r="R58" s="345"/>
      <c r="S58" s="343">
        <f t="shared" si="32"/>
        <v>5595861.0887385104</v>
      </c>
      <c r="T58" s="344"/>
      <c r="U58" s="345"/>
    </row>
    <row r="59" spans="2:30" x14ac:dyDescent="0.3">
      <c r="B59" s="1">
        <v>5</v>
      </c>
      <c r="C59" s="36" t="s">
        <v>68</v>
      </c>
      <c r="D59" s="25" t="s">
        <v>65</v>
      </c>
      <c r="E59" s="273">
        <v>120000</v>
      </c>
      <c r="F59" s="37">
        <f t="shared" si="27"/>
        <v>1440000</v>
      </c>
      <c r="G59" s="343">
        <f t="shared" si="28"/>
        <v>1528862.4</v>
      </c>
      <c r="H59" s="344"/>
      <c r="I59" s="345"/>
      <c r="J59" s="343">
        <f t="shared" si="29"/>
        <v>1617207.7137839999</v>
      </c>
      <c r="K59" s="344"/>
      <c r="L59" s="345"/>
      <c r="M59" s="343">
        <f t="shared" si="30"/>
        <v>1711693.883065687</v>
      </c>
      <c r="N59" s="344"/>
      <c r="O59" s="345"/>
      <c r="P59" s="343">
        <f t="shared" si="31"/>
        <v>1812495.9637628959</v>
      </c>
      <c r="Q59" s="344"/>
      <c r="R59" s="345"/>
      <c r="S59" s="343">
        <f t="shared" si="32"/>
        <v>1918580.9447103464</v>
      </c>
      <c r="T59" s="344"/>
      <c r="U59" s="345"/>
    </row>
    <row r="60" spans="2:30" x14ac:dyDescent="0.3">
      <c r="B60" s="1">
        <v>6</v>
      </c>
      <c r="C60" s="36" t="s">
        <v>69</v>
      </c>
      <c r="D60" s="25" t="s">
        <v>65</v>
      </c>
      <c r="E60" s="273">
        <v>1900000</v>
      </c>
      <c r="F60" s="37">
        <f t="shared" si="27"/>
        <v>22800000</v>
      </c>
      <c r="G60" s="343">
        <f t="shared" si="28"/>
        <v>24206988</v>
      </c>
      <c r="H60" s="344"/>
      <c r="I60" s="345"/>
      <c r="J60" s="343">
        <f t="shared" si="29"/>
        <v>25605788.801580001</v>
      </c>
      <c r="K60" s="344"/>
      <c r="L60" s="345"/>
      <c r="M60" s="343">
        <f t="shared" si="30"/>
        <v>27101819.815206714</v>
      </c>
      <c r="N60" s="344"/>
      <c r="O60" s="345"/>
      <c r="P60" s="343">
        <f t="shared" si="31"/>
        <v>28697852.759579189</v>
      </c>
      <c r="Q60" s="344"/>
      <c r="R60" s="345"/>
      <c r="S60" s="343">
        <f t="shared" si="32"/>
        <v>30377531.624580488</v>
      </c>
      <c r="T60" s="344"/>
      <c r="U60" s="345"/>
    </row>
    <row r="61" spans="2:30" x14ac:dyDescent="0.3">
      <c r="B61" s="1">
        <v>7</v>
      </c>
      <c r="C61" s="36" t="s">
        <v>56</v>
      </c>
      <c r="D61" s="25" t="s">
        <v>65</v>
      </c>
      <c r="E61" s="273">
        <v>1000000</v>
      </c>
      <c r="F61" s="37">
        <f t="shared" si="27"/>
        <v>12000000</v>
      </c>
      <c r="G61" s="343">
        <f t="shared" si="28"/>
        <v>12740520</v>
      </c>
      <c r="H61" s="344"/>
      <c r="I61" s="345"/>
      <c r="J61" s="343">
        <f t="shared" si="29"/>
        <v>13476730.9482</v>
      </c>
      <c r="K61" s="344"/>
      <c r="L61" s="345"/>
      <c r="M61" s="343">
        <f>+J61*(1+M$3)^1</f>
        <v>14264115.692214061</v>
      </c>
      <c r="N61" s="344"/>
      <c r="O61" s="345"/>
      <c r="P61" s="343">
        <f t="shared" si="31"/>
        <v>15104133.031357469</v>
      </c>
      <c r="Q61" s="344"/>
      <c r="R61" s="345"/>
      <c r="S61" s="343">
        <f t="shared" si="32"/>
        <v>15988174.53925289</v>
      </c>
      <c r="T61" s="344"/>
      <c r="U61" s="345"/>
    </row>
    <row r="62" spans="2:30" x14ac:dyDescent="0.3">
      <c r="B62" s="1">
        <v>8</v>
      </c>
      <c r="C62" s="36" t="s">
        <v>103</v>
      </c>
      <c r="D62" s="25" t="s">
        <v>65</v>
      </c>
      <c r="E62" s="274">
        <f>+('PROYECCIONES Y ESTIMACIONES'!D6*'ESTUDIO FINANCIERO'!D21)*0.028</f>
        <v>470481306.76819998</v>
      </c>
      <c r="F62" s="37">
        <f>+E62*12</f>
        <v>5645775681.2184</v>
      </c>
      <c r="G62" s="343">
        <f t="shared" si="28"/>
        <v>5994176498.5063868</v>
      </c>
      <c r="H62" s="344"/>
      <c r="I62" s="345"/>
      <c r="J62" s="343">
        <f t="shared" si="29"/>
        <v>6340549987.472578</v>
      </c>
      <c r="K62" s="344"/>
      <c r="L62" s="345"/>
      <c r="M62" s="343">
        <f t="shared" si="30"/>
        <v>6710999790.7656574</v>
      </c>
      <c r="N62" s="344"/>
      <c r="O62" s="345"/>
      <c r="P62" s="343">
        <f>+M62*(1+P$3)^1</f>
        <v>7106212246.1937943</v>
      </c>
      <c r="Q62" s="344"/>
      <c r="R62" s="345"/>
      <c r="S62" s="343">
        <f t="shared" si="32"/>
        <v>7522137250.0657616</v>
      </c>
      <c r="T62" s="344"/>
      <c r="U62" s="345"/>
    </row>
    <row r="63" spans="2:30" x14ac:dyDescent="0.3">
      <c r="B63" s="1">
        <v>9</v>
      </c>
      <c r="C63" s="36" t="s">
        <v>110</v>
      </c>
      <c r="D63" s="25" t="s">
        <v>105</v>
      </c>
      <c r="E63" s="356" t="s">
        <v>225</v>
      </c>
      <c r="F63" s="184">
        <v>12000000</v>
      </c>
      <c r="G63" s="346">
        <f>+F63*(1+G$3)</f>
        <v>12740520</v>
      </c>
      <c r="H63" s="347"/>
      <c r="I63" s="348"/>
      <c r="J63" s="343">
        <f>+G63*(1+J$3)</f>
        <v>13476730.9482</v>
      </c>
      <c r="K63" s="344"/>
      <c r="L63" s="345"/>
      <c r="M63" s="343">
        <f>+J63*(1+M$3)^1</f>
        <v>14264115.692214061</v>
      </c>
      <c r="N63" s="344"/>
      <c r="O63" s="345"/>
      <c r="P63" s="343">
        <f t="shared" ref="P63" si="33">+M63*(1+P$3)^1</f>
        <v>15104133.031357469</v>
      </c>
      <c r="Q63" s="344"/>
      <c r="R63" s="345"/>
      <c r="S63" s="343">
        <f>+P63*(1+S$3)^1</f>
        <v>15988174.53925289</v>
      </c>
      <c r="T63" s="344"/>
      <c r="U63" s="345"/>
    </row>
    <row r="64" spans="2:30" x14ac:dyDescent="0.3">
      <c r="B64" s="1">
        <v>10</v>
      </c>
      <c r="C64" s="36" t="s">
        <v>222</v>
      </c>
      <c r="D64" s="25" t="s">
        <v>105</v>
      </c>
      <c r="E64" s="357"/>
      <c r="F64" s="184">
        <v>8000000</v>
      </c>
      <c r="G64" s="346">
        <f>+F64*(1+G$3)</f>
        <v>8493680</v>
      </c>
      <c r="H64" s="347"/>
      <c r="I64" s="348"/>
      <c r="J64" s="343">
        <f>+G64*(1+J$3)</f>
        <v>8984487.2987999991</v>
      </c>
      <c r="K64" s="344"/>
      <c r="L64" s="345"/>
      <c r="M64" s="343">
        <f t="shared" ref="M64" si="34">+J64*(1+M$3)^1</f>
        <v>9509410.4614760391</v>
      </c>
      <c r="N64" s="344"/>
      <c r="O64" s="345"/>
      <c r="P64" s="343">
        <f t="shared" ref="P64" si="35">+M64*(1+P$3)^1</f>
        <v>10069422.020904977</v>
      </c>
      <c r="Q64" s="344"/>
      <c r="R64" s="345"/>
      <c r="S64" s="343">
        <f t="shared" ref="S64" si="36">+P64*(1+S$3)^1</f>
        <v>10658783.02616859</v>
      </c>
      <c r="T64" s="344"/>
      <c r="U64" s="345"/>
    </row>
    <row r="65" spans="3:22" x14ac:dyDescent="0.3">
      <c r="C65" s="55"/>
      <c r="D65" s="198"/>
      <c r="E65" s="55"/>
      <c r="G65" s="60"/>
      <c r="H65" s="61"/>
      <c r="I65" s="62"/>
      <c r="J65" s="63"/>
      <c r="K65" s="63"/>
      <c r="L65" s="64"/>
      <c r="M65" s="63"/>
      <c r="N65" s="63"/>
      <c r="O65" s="64"/>
      <c r="P65" s="63"/>
      <c r="Q65" s="63"/>
      <c r="R65" s="64"/>
      <c r="S65" s="63"/>
      <c r="T65" s="63"/>
      <c r="U65" s="64"/>
      <c r="V65" s="38" t="s">
        <v>50</v>
      </c>
    </row>
    <row r="66" spans="3:22" x14ac:dyDescent="0.3">
      <c r="F66" s="214">
        <f>+SUM(F55:F62)</f>
        <v>5737815681.2184</v>
      </c>
      <c r="G66" s="355" t="s">
        <v>114</v>
      </c>
      <c r="H66" s="355"/>
      <c r="I66" s="98">
        <f>SUM(G55:G62)</f>
        <v>6091896286.9063864</v>
      </c>
      <c r="J66" s="355" t="s">
        <v>114</v>
      </c>
      <c r="K66" s="355"/>
      <c r="L66" s="98">
        <f>SUM(J55:J64)</f>
        <v>6466377732.0922728</v>
      </c>
      <c r="M66" s="355" t="s">
        <v>114</v>
      </c>
      <c r="N66" s="355"/>
      <c r="O66" s="98">
        <f>SUM(M55:M64)</f>
        <v>6844179084.2786293</v>
      </c>
      <c r="P66" s="355" t="s">
        <v>114</v>
      </c>
      <c r="Q66" s="355"/>
      <c r="R66" s="98">
        <f>SUM(P55:P64)</f>
        <v>7247234501.5965681</v>
      </c>
      <c r="S66" s="355" t="s">
        <v>114</v>
      </c>
      <c r="T66" s="355"/>
      <c r="U66" s="98">
        <f>SUM(S55:S64)</f>
        <v>7671413506.3472528</v>
      </c>
      <c r="V66" s="85">
        <f>+SUM(I66+L66+O66+R66+U66)</f>
        <v>34321101111.221111</v>
      </c>
    </row>
    <row r="67" spans="3:22" x14ac:dyDescent="0.3">
      <c r="V67" s="38"/>
    </row>
    <row r="68" spans="3:22" s="35" customFormat="1" x14ac:dyDescent="0.3">
      <c r="C68" s="350" t="s">
        <v>226</v>
      </c>
      <c r="D68" s="351"/>
      <c r="E68" s="343"/>
      <c r="F68" s="345"/>
      <c r="G68" s="349">
        <f>+'GASTOS ADMINISTRATIVOS'!H13</f>
        <v>351290697.1056</v>
      </c>
      <c r="H68" s="349"/>
      <c r="I68" s="349"/>
      <c r="J68" s="349">
        <f>+'GASTOS ADMINISTRATIVOS'!J13</f>
        <v>665085762.44835985</v>
      </c>
      <c r="K68" s="349"/>
      <c r="L68" s="349"/>
      <c r="M68" s="349">
        <f>+'GASTOS ADMINISTRATIVOS'!L13</f>
        <v>737606713.98572898</v>
      </c>
      <c r="N68" s="349"/>
      <c r="O68" s="349"/>
      <c r="P68" s="349">
        <f>+'GASTOS ADMINISTRATIVOS'!N13</f>
        <v>819377794.29818702</v>
      </c>
      <c r="Q68" s="349"/>
      <c r="R68" s="349"/>
      <c r="S68" s="349">
        <f>+'GASTOS ADMINISTRATIVOS'!P13</f>
        <v>909724028.65309358</v>
      </c>
      <c r="T68" s="349"/>
      <c r="U68" s="349"/>
      <c r="V68" s="85">
        <f>+SUM(G68+J68+M68+P68+S68)</f>
        <v>3483084996.4909697</v>
      </c>
    </row>
    <row r="69" spans="3:22" s="35" customFormat="1" x14ac:dyDescent="0.3">
      <c r="C69" s="55"/>
      <c r="D69" s="198"/>
      <c r="E69" s="55"/>
      <c r="F69" s="55"/>
      <c r="G69" s="22"/>
      <c r="H69" s="62"/>
      <c r="I69" s="62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</row>
    <row r="72" spans="3:22" x14ac:dyDescent="0.3">
      <c r="C72" s="1"/>
      <c r="E72" s="1"/>
    </row>
    <row r="73" spans="3:22" x14ac:dyDescent="0.3">
      <c r="C73" s="1"/>
      <c r="E73" s="1"/>
    </row>
  </sheetData>
  <mergeCells count="100">
    <mergeCell ref="P54:R54"/>
    <mergeCell ref="S54:U54"/>
    <mergeCell ref="J49:K49"/>
    <mergeCell ref="G35:I35"/>
    <mergeCell ref="H7:J7"/>
    <mergeCell ref="K7:M7"/>
    <mergeCell ref="N7:P7"/>
    <mergeCell ref="B52:U52"/>
    <mergeCell ref="P35:R35"/>
    <mergeCell ref="S35:U35"/>
    <mergeCell ref="Q7:S7"/>
    <mergeCell ref="T7:V7"/>
    <mergeCell ref="E54:F54"/>
    <mergeCell ref="D35:F35"/>
    <mergeCell ref="G3:I3"/>
    <mergeCell ref="J3:L3"/>
    <mergeCell ref="M3:O3"/>
    <mergeCell ref="J35:L35"/>
    <mergeCell ref="M35:O35"/>
    <mergeCell ref="L27:M27"/>
    <mergeCell ref="P3:R3"/>
    <mergeCell ref="S3:U3"/>
    <mergeCell ref="M62:O62"/>
    <mergeCell ref="J68:L68"/>
    <mergeCell ref="M63:O63"/>
    <mergeCell ref="M64:O64"/>
    <mergeCell ref="J54:L54"/>
    <mergeCell ref="M54:O54"/>
    <mergeCell ref="S64:U64"/>
    <mergeCell ref="P60:R60"/>
    <mergeCell ref="P61:R61"/>
    <mergeCell ref="P62:R62"/>
    <mergeCell ref="P63:R63"/>
    <mergeCell ref="B5:U5"/>
    <mergeCell ref="B33:U33"/>
    <mergeCell ref="G54:I54"/>
    <mergeCell ref="G68:I68"/>
    <mergeCell ref="J63:L63"/>
    <mergeCell ref="J64:L64"/>
    <mergeCell ref="J55:L55"/>
    <mergeCell ref="J56:L56"/>
    <mergeCell ref="J57:L57"/>
    <mergeCell ref="J58:L58"/>
    <mergeCell ref="J59:L59"/>
    <mergeCell ref="J60:L60"/>
    <mergeCell ref="J61:L61"/>
    <mergeCell ref="J62:L62"/>
    <mergeCell ref="G64:I64"/>
    <mergeCell ref="G55:I55"/>
    <mergeCell ref="G56:I56"/>
    <mergeCell ref="G57:I57"/>
    <mergeCell ref="G58:I58"/>
    <mergeCell ref="E63:E64"/>
    <mergeCell ref="G2:U2"/>
    <mergeCell ref="H31:I31"/>
    <mergeCell ref="K31:L31"/>
    <mergeCell ref="N31:O31"/>
    <mergeCell ref="Q31:R31"/>
    <mergeCell ref="T31:U31"/>
    <mergeCell ref="S55:U55"/>
    <mergeCell ref="S56:U56"/>
    <mergeCell ref="S57:U57"/>
    <mergeCell ref="S58:U58"/>
    <mergeCell ref="S59:U59"/>
    <mergeCell ref="S60:U60"/>
    <mergeCell ref="S61:U61"/>
    <mergeCell ref="S62:U62"/>
    <mergeCell ref="S63:U63"/>
    <mergeCell ref="E68:F68"/>
    <mergeCell ref="S68:U68"/>
    <mergeCell ref="C68:D68"/>
    <mergeCell ref="G49:H49"/>
    <mergeCell ref="M49:N49"/>
    <mergeCell ref="P49:Q49"/>
    <mergeCell ref="S49:T49"/>
    <mergeCell ref="M66:N66"/>
    <mergeCell ref="P66:Q66"/>
    <mergeCell ref="S66:T66"/>
    <mergeCell ref="J66:K66"/>
    <mergeCell ref="G66:H66"/>
    <mergeCell ref="M68:O68"/>
    <mergeCell ref="P68:R68"/>
    <mergeCell ref="P64:R64"/>
    <mergeCell ref="P55:R55"/>
    <mergeCell ref="G59:I59"/>
    <mergeCell ref="G60:I60"/>
    <mergeCell ref="G61:I61"/>
    <mergeCell ref="G62:I62"/>
    <mergeCell ref="G63:I63"/>
    <mergeCell ref="M55:O55"/>
    <mergeCell ref="M56:O56"/>
    <mergeCell ref="M57:O57"/>
    <mergeCell ref="M58:O58"/>
    <mergeCell ref="M59:O59"/>
    <mergeCell ref="M60:O60"/>
    <mergeCell ref="M61:O61"/>
    <mergeCell ref="P56:R56"/>
    <mergeCell ref="P57:R57"/>
    <mergeCell ref="P58:R58"/>
    <mergeCell ref="P59:R59"/>
  </mergeCells>
  <phoneticPr fontId="12" type="noConversion"/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03"/>
  <sheetViews>
    <sheetView showGridLines="0" zoomScaleNormal="100" workbookViewId="0">
      <selection activeCell="H2" sqref="H2:P2"/>
    </sheetView>
  </sheetViews>
  <sheetFormatPr baseColWidth="10" defaultColWidth="12.5546875" defaultRowHeight="15" customHeight="1" x14ac:dyDescent="0.3"/>
  <cols>
    <col min="1" max="1" width="4.33203125" style="1" customWidth="1"/>
    <col min="2" max="2" width="20.109375" style="1" bestFit="1" customWidth="1"/>
    <col min="3" max="3" width="17" style="1" bestFit="1" customWidth="1"/>
    <col min="4" max="4" width="14.6640625" style="1" bestFit="1" customWidth="1"/>
    <col min="5" max="5" width="2.109375" style="1" bestFit="1" customWidth="1"/>
    <col min="6" max="6" width="15.88671875" style="1" bestFit="1" customWidth="1"/>
    <col min="7" max="7" width="2.109375" style="1" bestFit="1" customWidth="1"/>
    <col min="8" max="8" width="15.88671875" style="1" bestFit="1" customWidth="1"/>
    <col min="9" max="9" width="3.33203125" style="1" bestFit="1" customWidth="1"/>
    <col min="10" max="10" width="15.88671875" style="1" bestFit="1" customWidth="1"/>
    <col min="11" max="11" width="3.33203125" style="1" bestFit="1" customWidth="1"/>
    <col min="12" max="12" width="15.88671875" style="1" bestFit="1" customWidth="1"/>
    <col min="13" max="13" width="3.33203125" style="1" bestFit="1" customWidth="1"/>
    <col min="14" max="14" width="15.88671875" style="1" bestFit="1" customWidth="1"/>
    <col min="15" max="15" width="3.33203125" style="1" bestFit="1" customWidth="1"/>
    <col min="16" max="16" width="15.88671875" style="1" bestFit="1" customWidth="1"/>
    <col min="17" max="26" width="10.5546875" style="1" customWidth="1"/>
    <col min="27" max="16384" width="12.5546875" style="1"/>
  </cols>
  <sheetData>
    <row r="2" spans="2:16" ht="15" customHeight="1" x14ac:dyDescent="0.3">
      <c r="H2" s="358" t="s">
        <v>228</v>
      </c>
      <c r="I2" s="358"/>
      <c r="J2" s="358"/>
      <c r="K2" s="358"/>
      <c r="L2" s="358"/>
      <c r="M2" s="358"/>
      <c r="N2" s="358"/>
      <c r="O2" s="358"/>
      <c r="P2" s="358"/>
    </row>
    <row r="3" spans="2:16" ht="15" customHeight="1" x14ac:dyDescent="0.3">
      <c r="H3" s="84">
        <f>+'PROYECCIONES Y ESTIMACIONES'!Q8</f>
        <v>0.1158</v>
      </c>
      <c r="I3" s="25"/>
      <c r="J3" s="84">
        <f>+'PROYECCIONES Y ESTIMACIONES'!Q9</f>
        <v>0.1106</v>
      </c>
      <c r="K3" s="84"/>
      <c r="L3" s="84">
        <f>+'PROYECCIONES Y ESTIMACIONES'!Q10</f>
        <v>0.10904</v>
      </c>
      <c r="M3" s="84"/>
      <c r="N3" s="84">
        <f>+'PROYECCIONES Y ESTIMACIONES'!Q11</f>
        <v>0.11086</v>
      </c>
      <c r="O3" s="84"/>
      <c r="P3" s="84">
        <f>+'PROYECCIONES Y ESTIMACIONES'!Q12</f>
        <v>0.110262</v>
      </c>
    </row>
    <row r="4" spans="2:16" ht="15.6" x14ac:dyDescent="0.3">
      <c r="B4" s="367" t="s">
        <v>70</v>
      </c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</row>
    <row r="5" spans="2:16" ht="15.6" x14ac:dyDescent="0.3">
      <c r="B5" s="5" t="s">
        <v>71</v>
      </c>
      <c r="C5" s="5" t="s">
        <v>72</v>
      </c>
      <c r="D5" s="5" t="s">
        <v>73</v>
      </c>
      <c r="E5" s="6" t="s">
        <v>134</v>
      </c>
      <c r="F5" s="5" t="s">
        <v>74</v>
      </c>
      <c r="G5" s="6" t="s">
        <v>134</v>
      </c>
      <c r="H5" s="5" t="s">
        <v>0</v>
      </c>
      <c r="I5" s="6" t="s">
        <v>134</v>
      </c>
      <c r="J5" s="5" t="s">
        <v>1</v>
      </c>
      <c r="K5" s="6" t="s">
        <v>134</v>
      </c>
      <c r="L5" s="5" t="s">
        <v>2</v>
      </c>
      <c r="M5" s="6" t="s">
        <v>134</v>
      </c>
      <c r="N5" s="5" t="s">
        <v>3</v>
      </c>
      <c r="O5" s="6" t="s">
        <v>134</v>
      </c>
      <c r="P5" s="5" t="s">
        <v>4</v>
      </c>
    </row>
    <row r="6" spans="2:16" ht="15.6" x14ac:dyDescent="0.3">
      <c r="B6" s="4" t="s">
        <v>5</v>
      </c>
      <c r="C6" s="65">
        <v>3673786</v>
      </c>
      <c r="D6" s="65">
        <v>5395151</v>
      </c>
      <c r="E6" s="6">
        <v>1</v>
      </c>
      <c r="F6" s="65">
        <f>+D6*E6*12</f>
        <v>64741812</v>
      </c>
      <c r="G6" s="6">
        <v>1</v>
      </c>
      <c r="H6" s="65">
        <f>+($D6*G6*12)*(1+H$3)</f>
        <v>72238913.829599991</v>
      </c>
      <c r="I6" s="6">
        <f>'PROYECCIONES Y ESTIMACIONES'!E10</f>
        <v>1</v>
      </c>
      <c r="J6" s="65">
        <f>+($D6*I6*12)*(1+H$3)*(1+J$3)</f>
        <v>80228537.699153751</v>
      </c>
      <c r="K6" s="6">
        <f>'PROYECCIONES Y ESTIMACIONES'!F10</f>
        <v>1</v>
      </c>
      <c r="L6" s="65">
        <f>+($D6*K6*12)*(1+H$3)*(1+J$3)*(1+L$3)</f>
        <v>88976657.449869484</v>
      </c>
      <c r="M6" s="6">
        <f>'PROYECCIONES Y ESTIMACIONES'!G10</f>
        <v>1</v>
      </c>
      <c r="N6" s="65">
        <f>+($D6*M6*12)*(1+H$3)*(1+J$3)*(1+L$3)*(1+N$3)</f>
        <v>98840609.694762006</v>
      </c>
      <c r="O6" s="6">
        <f>'PROYECCIONES Y ESTIMACIONES'!H10</f>
        <v>1</v>
      </c>
      <c r="P6" s="65">
        <f>+($D6*O6*12)*(1+H$3)*(1+J$3)*(1+L$3)*(1+N$3)*(1+P$3)</f>
        <v>109738973.00092587</v>
      </c>
    </row>
    <row r="7" spans="2:16" ht="15.6" x14ac:dyDescent="0.3">
      <c r="B7" s="4" t="s">
        <v>92</v>
      </c>
      <c r="C7" s="65">
        <v>2582448</v>
      </c>
      <c r="D7" s="65">
        <v>4027796</v>
      </c>
      <c r="E7" s="6">
        <v>1</v>
      </c>
      <c r="F7" s="65">
        <f>+D7*E7*12</f>
        <v>48333552</v>
      </c>
      <c r="G7" s="6">
        <v>1</v>
      </c>
      <c r="H7" s="65">
        <f t="shared" ref="H7:H12" si="0">+($D7*G7*12)*(1+H$3)</f>
        <v>53930577.321599998</v>
      </c>
      <c r="I7" s="6">
        <f>'PROYECCIONES Y ESTIMACIONES'!E11</f>
        <v>2</v>
      </c>
      <c r="J7" s="65">
        <f t="shared" ref="J7:J12" si="1">+($D7*I7*12)*(1+H$3)*(1+J$3)</f>
        <v>119790598.34673792</v>
      </c>
      <c r="K7" s="6">
        <f>'PROYECCIONES Y ESTIMACIONES'!F11</f>
        <v>2</v>
      </c>
      <c r="L7" s="65">
        <f t="shared" ref="L7:L12" si="2">+($D7*K7*12)*(1+H$3)*(1+J$3)*(1+L$3)</f>
        <v>132852565.19046623</v>
      </c>
      <c r="M7" s="6">
        <f>'PROYECCIONES Y ESTIMACIONES'!G11</f>
        <v>2</v>
      </c>
      <c r="N7" s="65">
        <f t="shared" ref="N7:N12" si="3">+($D7*M7*12)*(1+H$3)*(1+J$3)*(1+L$3)*(1+N$3)</f>
        <v>147580600.56748131</v>
      </c>
      <c r="O7" s="6">
        <f>'PROYECCIONES Y ESTIMACIONES'!H11</f>
        <v>2</v>
      </c>
      <c r="P7" s="65">
        <f t="shared" ref="P7:P12" si="4">+($D7*O7*12)*(1+H$3)*(1+J$3)*(1+L$3)*(1+N$3)*(1+P$3)</f>
        <v>163853132.74725294</v>
      </c>
    </row>
    <row r="8" spans="2:16" ht="15.6" x14ac:dyDescent="0.3">
      <c r="B8" s="4" t="s">
        <v>6</v>
      </c>
      <c r="C8" s="65">
        <v>1584652</v>
      </c>
      <c r="D8" s="65">
        <v>2562479</v>
      </c>
      <c r="E8" s="6">
        <v>1</v>
      </c>
      <c r="F8" s="65">
        <f t="shared" ref="F8:F11" si="5">+D8*E8*12</f>
        <v>30749748</v>
      </c>
      <c r="G8" s="6">
        <v>1</v>
      </c>
      <c r="H8" s="65">
        <f t="shared" si="0"/>
        <v>34310568.818399996</v>
      </c>
      <c r="I8" s="6">
        <f>'PROYECCIONES Y ESTIMACIONES'!E12</f>
        <v>2</v>
      </c>
      <c r="J8" s="65">
        <f t="shared" si="1"/>
        <v>76210635.459430069</v>
      </c>
      <c r="K8" s="6">
        <f>'PROYECCIONES Y ESTIMACIONES'!F12</f>
        <v>2</v>
      </c>
      <c r="L8" s="65">
        <f t="shared" si="2"/>
        <v>84520643.14992632</v>
      </c>
      <c r="M8" s="6">
        <f>'PROYECCIONES Y ESTIMACIONES'!G12</f>
        <v>2</v>
      </c>
      <c r="N8" s="65">
        <f t="shared" si="3"/>
        <v>93890601.649527147</v>
      </c>
      <c r="O8" s="6">
        <f>'PROYECCIONES Y ESTIMACIONES'!H12</f>
        <v>2</v>
      </c>
      <c r="P8" s="65">
        <f t="shared" si="4"/>
        <v>104243167.16860732</v>
      </c>
    </row>
    <row r="9" spans="2:16" ht="15.6" x14ac:dyDescent="0.3">
      <c r="B9" s="4" t="s">
        <v>7</v>
      </c>
      <c r="C9" s="65">
        <v>1423500</v>
      </c>
      <c r="D9" s="65">
        <v>2325819</v>
      </c>
      <c r="E9" s="6">
        <v>1</v>
      </c>
      <c r="F9" s="65">
        <f t="shared" si="5"/>
        <v>27909828</v>
      </c>
      <c r="G9" s="6">
        <v>1</v>
      </c>
      <c r="H9" s="65">
        <f t="shared" si="0"/>
        <v>31141786.082399998</v>
      </c>
      <c r="I9" s="6">
        <f>'PROYECCIONES Y ESTIMACIONES'!E13</f>
        <v>2</v>
      </c>
      <c r="J9" s="65">
        <f t="shared" si="1"/>
        <v>69172135.246226877</v>
      </c>
      <c r="K9" s="6">
        <f>'PROYECCIONES Y ESTIMACIONES'!F13</f>
        <v>2</v>
      </c>
      <c r="L9" s="65">
        <f t="shared" si="2"/>
        <v>76714664.873475462</v>
      </c>
      <c r="M9" s="6">
        <f>'PROYECCIONES Y ESTIMACIONES'!G13</f>
        <v>2</v>
      </c>
      <c r="N9" s="65">
        <f t="shared" si="3"/>
        <v>85219252.621348947</v>
      </c>
      <c r="O9" s="6">
        <f>'PROYECCIONES Y ESTIMACIONES'!H13</f>
        <v>2</v>
      </c>
      <c r="P9" s="65">
        <f t="shared" si="4"/>
        <v>94615697.853884131</v>
      </c>
    </row>
    <row r="10" spans="2:16" ht="15.6" x14ac:dyDescent="0.3">
      <c r="B10" s="4" t="s">
        <v>8</v>
      </c>
      <c r="C10" s="66">
        <v>3333483</v>
      </c>
      <c r="D10" s="67">
        <v>4895398</v>
      </c>
      <c r="E10" s="6">
        <v>1</v>
      </c>
      <c r="F10" s="65">
        <f t="shared" si="5"/>
        <v>58744776</v>
      </c>
      <c r="G10" s="6">
        <v>1</v>
      </c>
      <c r="H10" s="65">
        <f t="shared" si="0"/>
        <v>65547421.060799994</v>
      </c>
      <c r="I10" s="6">
        <f>'PROYECCIONES Y ESTIMACIONES'!E14</f>
        <v>2</v>
      </c>
      <c r="J10" s="65">
        <f t="shared" si="1"/>
        <v>145593931.66024894</v>
      </c>
      <c r="K10" s="6">
        <f>'PROYECCIONES Y ESTIMACIONES'!F14</f>
        <v>2</v>
      </c>
      <c r="L10" s="65">
        <f t="shared" si="2"/>
        <v>161469493.96848249</v>
      </c>
      <c r="M10" s="6">
        <f>'PROYECCIONES Y ESTIMACIONES'!G14</f>
        <v>2</v>
      </c>
      <c r="N10" s="65">
        <f t="shared" si="3"/>
        <v>179370002.06982845</v>
      </c>
      <c r="O10" s="6">
        <f>'PROYECCIONES Y ESTIMACIONES'!H14</f>
        <v>2</v>
      </c>
      <c r="P10" s="65">
        <f t="shared" si="4"/>
        <v>199147697.23805189</v>
      </c>
    </row>
    <row r="11" spans="2:16" ht="15.6" x14ac:dyDescent="0.3">
      <c r="B11" s="4" t="s">
        <v>9</v>
      </c>
      <c r="C11" s="68">
        <v>1441200</v>
      </c>
      <c r="D11" s="65">
        <v>2351812</v>
      </c>
      <c r="E11" s="6">
        <v>2</v>
      </c>
      <c r="F11" s="65">
        <f t="shared" si="5"/>
        <v>56443488</v>
      </c>
      <c r="G11" s="6">
        <v>2</v>
      </c>
      <c r="H11" s="65">
        <f t="shared" si="0"/>
        <v>62979643.910399996</v>
      </c>
      <c r="I11" s="6">
        <f>'PROYECCIONES Y ESTIMACIONES'!E15</f>
        <v>3</v>
      </c>
      <c r="J11" s="65">
        <f t="shared" si="1"/>
        <v>104917788.79033536</v>
      </c>
      <c r="K11" s="6">
        <f>'PROYECCIONES Y ESTIMACIONES'!F15</f>
        <v>3</v>
      </c>
      <c r="L11" s="65">
        <f t="shared" si="2"/>
        <v>116358024.48003353</v>
      </c>
      <c r="M11" s="6">
        <f>'PROYECCIONES Y ESTIMACIONES'!G15</f>
        <v>3</v>
      </c>
      <c r="N11" s="65">
        <f t="shared" si="3"/>
        <v>129257475.07389005</v>
      </c>
      <c r="O11" s="6">
        <f>'PROYECCIONES Y ESTIMACIONES'!H15</f>
        <v>3</v>
      </c>
      <c r="P11" s="65">
        <f t="shared" si="4"/>
        <v>143509662.79048732</v>
      </c>
    </row>
    <row r="12" spans="2:16" ht="15.6" x14ac:dyDescent="0.3">
      <c r="B12" s="69" t="s">
        <v>93</v>
      </c>
      <c r="C12" s="65">
        <v>1423500</v>
      </c>
      <c r="D12" s="65">
        <v>2325819</v>
      </c>
      <c r="E12" s="6">
        <v>1</v>
      </c>
      <c r="F12" s="65">
        <f>+D12*E12*12</f>
        <v>27909828</v>
      </c>
      <c r="G12" s="6">
        <v>1</v>
      </c>
      <c r="H12" s="65">
        <f t="shared" si="0"/>
        <v>31141786.082399998</v>
      </c>
      <c r="I12" s="6">
        <f>'PROYECCIONES Y ESTIMACIONES'!E16</f>
        <v>2</v>
      </c>
      <c r="J12" s="65">
        <f t="shared" si="1"/>
        <v>69172135.246226877</v>
      </c>
      <c r="K12" s="6">
        <f>'PROYECCIONES Y ESTIMACIONES'!F16</f>
        <v>2</v>
      </c>
      <c r="L12" s="65">
        <f t="shared" si="2"/>
        <v>76714664.873475462</v>
      </c>
      <c r="M12" s="6">
        <f>'PROYECCIONES Y ESTIMACIONES'!G16</f>
        <v>2</v>
      </c>
      <c r="N12" s="65">
        <f t="shared" si="3"/>
        <v>85219252.621348947</v>
      </c>
      <c r="O12" s="6">
        <f>'PROYECCIONES Y ESTIMACIONES'!H16</f>
        <v>2</v>
      </c>
      <c r="P12" s="65">
        <f t="shared" si="4"/>
        <v>94615697.853884131</v>
      </c>
    </row>
    <row r="13" spans="2:16" ht="15.6" x14ac:dyDescent="0.3">
      <c r="B13" s="365" t="s">
        <v>50</v>
      </c>
      <c r="C13" s="366"/>
      <c r="D13" s="101">
        <f>+SUM(D6:D12)</f>
        <v>23884274</v>
      </c>
      <c r="E13" s="102">
        <f t="shared" ref="E13:P13" si="6">+SUM(E6:E12)</f>
        <v>8</v>
      </c>
      <c r="F13" s="101">
        <f>+SUM(F6:F12)</f>
        <v>314833032</v>
      </c>
      <c r="G13" s="102">
        <f t="shared" si="6"/>
        <v>8</v>
      </c>
      <c r="H13" s="101">
        <f t="shared" si="6"/>
        <v>351290697.1056</v>
      </c>
      <c r="I13" s="102">
        <f>+SUM(I6:I12)</f>
        <v>14</v>
      </c>
      <c r="J13" s="101">
        <f t="shared" si="6"/>
        <v>665085762.44835985</v>
      </c>
      <c r="K13" s="102">
        <f t="shared" si="6"/>
        <v>14</v>
      </c>
      <c r="L13" s="101">
        <f t="shared" si="6"/>
        <v>737606713.98572898</v>
      </c>
      <c r="M13" s="102">
        <f t="shared" si="6"/>
        <v>14</v>
      </c>
      <c r="N13" s="101">
        <f t="shared" si="6"/>
        <v>819377794.29818702</v>
      </c>
      <c r="O13" s="102">
        <f t="shared" si="6"/>
        <v>14</v>
      </c>
      <c r="P13" s="101">
        <f t="shared" si="6"/>
        <v>909724028.65309358</v>
      </c>
    </row>
    <row r="15" spans="2:16" ht="15.6" x14ac:dyDescent="0.3">
      <c r="C15" s="318"/>
      <c r="D15" s="318"/>
      <c r="E15" s="318"/>
    </row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B13:C13"/>
    <mergeCell ref="C15:E15"/>
    <mergeCell ref="H2:P2"/>
    <mergeCell ref="B4:P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5589-AC2C-4D58-B99F-AC36D968B3EF}">
  <dimension ref="A2:IW161"/>
  <sheetViews>
    <sheetView showGridLines="0" topLeftCell="A98" zoomScale="78" zoomScaleNormal="100" workbookViewId="0">
      <selection activeCell="D118" sqref="D118"/>
    </sheetView>
  </sheetViews>
  <sheetFormatPr baseColWidth="10" defaultColWidth="11.44140625" defaultRowHeight="15.6" x14ac:dyDescent="0.3"/>
  <cols>
    <col min="1" max="1" width="11.44140625" style="1"/>
    <col min="2" max="2" width="55.6640625" style="1" customWidth="1"/>
    <col min="3" max="3" width="36.6640625" style="1" bestFit="1" customWidth="1"/>
    <col min="4" max="4" width="46.33203125" style="1" bestFit="1" customWidth="1"/>
    <col min="5" max="5" width="34.109375" style="1" bestFit="1" customWidth="1"/>
    <col min="6" max="6" width="25.44140625" style="1" bestFit="1" customWidth="1"/>
    <col min="7" max="7" width="40.5546875" style="1" bestFit="1" customWidth="1"/>
    <col min="8" max="8" width="25.44140625" style="1" bestFit="1" customWidth="1"/>
    <col min="9" max="9" width="26" style="1" bestFit="1" customWidth="1"/>
    <col min="10" max="10" width="11.109375" style="1" bestFit="1" customWidth="1"/>
    <col min="11" max="11" width="16.5546875" style="1" bestFit="1" customWidth="1"/>
    <col min="12" max="16384" width="11.44140625" style="1"/>
  </cols>
  <sheetData>
    <row r="2" spans="2:12" s="70" customFormat="1" x14ac:dyDescent="0.3">
      <c r="B2" s="379" t="s">
        <v>83</v>
      </c>
      <c r="C2" s="379"/>
    </row>
    <row r="3" spans="2:12" s="70" customFormat="1" x14ac:dyDescent="0.3">
      <c r="B3" s="105" t="s">
        <v>84</v>
      </c>
      <c r="C3" s="171" t="s">
        <v>82</v>
      </c>
      <c r="D3" s="108" t="s">
        <v>81</v>
      </c>
    </row>
    <row r="4" spans="2:12" s="70" customFormat="1" x14ac:dyDescent="0.3">
      <c r="B4" s="106" t="s">
        <v>85</v>
      </c>
      <c r="C4" s="107">
        <v>45981</v>
      </c>
      <c r="D4" s="109" t="s">
        <v>80</v>
      </c>
      <c r="E4" s="72"/>
      <c r="F4" s="72"/>
    </row>
    <row r="5" spans="2:12" s="70" customFormat="1" x14ac:dyDescent="0.3">
      <c r="B5" s="71"/>
      <c r="C5" s="72"/>
      <c r="E5" s="72"/>
      <c r="F5" s="72"/>
    </row>
    <row r="6" spans="2:12" s="70" customFormat="1" x14ac:dyDescent="0.3">
      <c r="B6" s="380" t="s">
        <v>75</v>
      </c>
      <c r="C6" s="380"/>
      <c r="F6" s="72"/>
    </row>
    <row r="7" spans="2:12" s="75" customFormat="1" x14ac:dyDescent="0.3">
      <c r="B7" s="103" t="s">
        <v>76</v>
      </c>
      <c r="C7" s="104" t="s">
        <v>86</v>
      </c>
      <c r="D7" s="73"/>
      <c r="E7" s="74"/>
      <c r="F7" s="73"/>
      <c r="G7" s="73"/>
      <c r="H7" s="73"/>
    </row>
    <row r="8" spans="2:12" s="75" customFormat="1" x14ac:dyDescent="0.3">
      <c r="B8" s="103">
        <f>+D17</f>
        <v>1</v>
      </c>
      <c r="C8" s="114">
        <f>+'PROYECCIONES Y ESTIMACIONES'!M8</f>
        <v>6.1710000000000001E-2</v>
      </c>
      <c r="D8" s="73"/>
      <c r="E8" s="76"/>
      <c r="F8" s="73"/>
      <c r="G8" s="73"/>
      <c r="H8" s="73"/>
    </row>
    <row r="9" spans="2:12" s="75" customFormat="1" x14ac:dyDescent="0.3">
      <c r="B9" s="103">
        <f>+B8+1</f>
        <v>2</v>
      </c>
      <c r="C9" s="114">
        <f>+'PROYECCIONES Y ESTIMACIONES'!M9</f>
        <v>5.7785000000000003E-2</v>
      </c>
      <c r="D9" s="73"/>
      <c r="E9" s="76"/>
      <c r="F9" s="73"/>
      <c r="G9" s="73"/>
      <c r="H9" s="73"/>
    </row>
    <row r="10" spans="2:12" s="75" customFormat="1" x14ac:dyDescent="0.3">
      <c r="B10" s="103">
        <f>+B9+1</f>
        <v>3</v>
      </c>
      <c r="C10" s="114">
        <f>+'PROYECCIONES Y ESTIMACIONES'!M10</f>
        <v>5.8425500000000005E-2</v>
      </c>
      <c r="D10" s="73"/>
      <c r="E10" s="76"/>
      <c r="F10" s="73"/>
      <c r="G10" s="73"/>
      <c r="H10" s="73"/>
    </row>
    <row r="11" spans="2:12" s="75" customFormat="1" x14ac:dyDescent="0.3">
      <c r="B11" s="103">
        <f>+B10+1</f>
        <v>4</v>
      </c>
      <c r="C11" s="114">
        <f>+'PROYECCIONES Y ESTIMACIONES'!M11</f>
        <v>5.8890250000000005E-2</v>
      </c>
      <c r="D11" s="73"/>
      <c r="E11" s="76"/>
      <c r="F11" s="73"/>
      <c r="G11" s="73"/>
      <c r="H11" s="73"/>
    </row>
    <row r="12" spans="2:12" s="75" customFormat="1" x14ac:dyDescent="0.3">
      <c r="B12" s="103">
        <f>+B11+1</f>
        <v>5</v>
      </c>
      <c r="C12" s="114">
        <f>+'PROYECCIONES Y ESTIMACIONES'!M12</f>
        <v>5.8529775000000006E-2</v>
      </c>
      <c r="D12" s="73"/>
      <c r="E12" s="76"/>
      <c r="F12" s="73"/>
      <c r="G12" s="73"/>
      <c r="H12" s="73"/>
      <c r="K12" s="75">
        <f>+K14*(1+L12)</f>
        <v>676200</v>
      </c>
      <c r="L12" s="251">
        <v>0.38</v>
      </c>
    </row>
    <row r="13" spans="2:12" s="75" customFormat="1" x14ac:dyDescent="0.3">
      <c r="B13" s="77"/>
      <c r="C13" s="78"/>
      <c r="D13" s="73"/>
      <c r="E13" s="76"/>
      <c r="F13" s="73"/>
      <c r="G13" s="73"/>
      <c r="H13" s="73"/>
      <c r="K13" s="75">
        <f>+K14*(1+L13)</f>
        <v>588000</v>
      </c>
      <c r="L13" s="251">
        <v>0.2</v>
      </c>
    </row>
    <row r="14" spans="2:12" s="75" customFormat="1" x14ac:dyDescent="0.3">
      <c r="B14" s="370" t="s">
        <v>77</v>
      </c>
      <c r="C14" s="370"/>
      <c r="D14" s="370"/>
      <c r="E14" s="370"/>
      <c r="F14" s="370"/>
      <c r="G14" s="370"/>
      <c r="H14" s="370"/>
      <c r="K14" s="75">
        <v>490000</v>
      </c>
      <c r="L14" s="251">
        <v>0</v>
      </c>
    </row>
    <row r="15" spans="2:12" s="75" customFormat="1" x14ac:dyDescent="0.3">
      <c r="B15" s="378" t="s">
        <v>78</v>
      </c>
      <c r="C15" s="378"/>
      <c r="D15" s="378"/>
      <c r="E15" s="378"/>
      <c r="F15" s="378"/>
      <c r="G15" s="378"/>
      <c r="H15" s="378"/>
      <c r="K15" s="75">
        <f>+K14*(1+L15)</f>
        <v>392000</v>
      </c>
      <c r="L15" s="251">
        <v>-0.2</v>
      </c>
    </row>
    <row r="16" spans="2:12" s="75" customFormat="1" x14ac:dyDescent="0.3">
      <c r="B16" s="146"/>
      <c r="C16" s="146" t="str">
        <f>+D4</f>
        <v>Pesos colombianos</v>
      </c>
      <c r="D16" s="146"/>
      <c r="E16" s="146"/>
      <c r="F16" s="146"/>
      <c r="G16" s="146"/>
      <c r="H16" s="146"/>
      <c r="K16" s="250">
        <v>305253.25217128999</v>
      </c>
      <c r="L16" s="251">
        <f>+(K16-K14)/K14</f>
        <v>-0.37703417924226534</v>
      </c>
    </row>
    <row r="17" spans="1:257" s="75" customFormat="1" x14ac:dyDescent="0.3">
      <c r="B17" s="147" t="s">
        <v>76</v>
      </c>
      <c r="C17" s="39">
        <v>0</v>
      </c>
      <c r="D17" s="39">
        <f>+C17+1</f>
        <v>1</v>
      </c>
      <c r="E17" s="39">
        <f>+D17+1</f>
        <v>2</v>
      </c>
      <c r="F17" s="39">
        <f>+E17+1</f>
        <v>3</v>
      </c>
      <c r="G17" s="39">
        <f>+F17+1</f>
        <v>4</v>
      </c>
      <c r="H17" s="39">
        <f>+G17+1</f>
        <v>5</v>
      </c>
      <c r="I17" s="79"/>
      <c r="J17" s="79"/>
      <c r="K17" s="79"/>
      <c r="L17" s="24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79"/>
      <c r="FF17" s="79"/>
      <c r="FG17" s="79"/>
      <c r="FH17" s="79"/>
      <c r="FI17" s="79"/>
      <c r="FJ17" s="79"/>
      <c r="FK17" s="79"/>
      <c r="FL17" s="79"/>
      <c r="FM17" s="79"/>
      <c r="FN17" s="79"/>
      <c r="FO17" s="79"/>
      <c r="FP17" s="79"/>
      <c r="FQ17" s="79"/>
      <c r="FR17" s="79"/>
      <c r="FS17" s="79"/>
      <c r="FT17" s="79"/>
      <c r="FU17" s="79"/>
      <c r="FV17" s="79"/>
      <c r="FW17" s="79"/>
      <c r="FX17" s="79"/>
      <c r="FY17" s="79"/>
      <c r="FZ17" s="79"/>
      <c r="GA17" s="79"/>
      <c r="GB17" s="79"/>
      <c r="GC17" s="79"/>
      <c r="GD17" s="79"/>
      <c r="GE17" s="79"/>
      <c r="GF17" s="79"/>
      <c r="GG17" s="79"/>
      <c r="GH17" s="79"/>
      <c r="GI17" s="79"/>
      <c r="GJ17" s="79"/>
      <c r="GK17" s="79"/>
      <c r="GL17" s="79"/>
      <c r="GM17" s="79"/>
      <c r="GN17" s="79"/>
      <c r="GO17" s="79"/>
      <c r="GP17" s="79"/>
      <c r="GQ17" s="79"/>
      <c r="GR17" s="79"/>
      <c r="GS17" s="79"/>
      <c r="GT17" s="79"/>
      <c r="GU17" s="79"/>
      <c r="GV17" s="79"/>
      <c r="GW17" s="79"/>
      <c r="GX17" s="79"/>
      <c r="GY17" s="79"/>
      <c r="GZ17" s="79"/>
      <c r="HA17" s="79"/>
      <c r="HB17" s="79"/>
      <c r="HC17" s="79"/>
      <c r="HD17" s="79"/>
      <c r="HE17" s="79"/>
      <c r="HF17" s="79"/>
      <c r="HG17" s="79"/>
      <c r="HH17" s="79"/>
      <c r="HI17" s="79"/>
      <c r="HJ17" s="79"/>
      <c r="HK17" s="79"/>
      <c r="HL17" s="79"/>
      <c r="HM17" s="79"/>
      <c r="HN17" s="79"/>
      <c r="HO17" s="79"/>
      <c r="HP17" s="79"/>
      <c r="HQ17" s="79"/>
      <c r="HR17" s="79"/>
      <c r="HS17" s="79"/>
      <c r="HT17" s="79"/>
      <c r="HU17" s="79"/>
      <c r="HV17" s="79"/>
      <c r="HW17" s="79"/>
      <c r="HX17" s="79"/>
      <c r="HY17" s="79"/>
      <c r="HZ17" s="79"/>
      <c r="IA17" s="79"/>
      <c r="IB17" s="79"/>
      <c r="IC17" s="79"/>
      <c r="ID17" s="79"/>
      <c r="IE17" s="79"/>
      <c r="IF17" s="79"/>
      <c r="IG17" s="79"/>
      <c r="IH17" s="79"/>
      <c r="II17" s="79"/>
      <c r="IJ17" s="79"/>
      <c r="IK17" s="79"/>
      <c r="IL17" s="79"/>
      <c r="IM17" s="79"/>
      <c r="IN17" s="79"/>
      <c r="IO17" s="79"/>
      <c r="IP17" s="79"/>
      <c r="IQ17" s="79"/>
      <c r="IR17" s="79"/>
      <c r="IS17" s="79"/>
      <c r="IT17" s="79"/>
      <c r="IU17" s="79"/>
      <c r="IV17" s="79"/>
      <c r="IW17" s="79"/>
    </row>
    <row r="18" spans="1:257" s="80" customFormat="1" x14ac:dyDescent="0.3">
      <c r="A18" s="75"/>
      <c r="B18" s="268" t="s">
        <v>259</v>
      </c>
      <c r="C18" s="110"/>
      <c r="D18" s="111">
        <v>390000</v>
      </c>
      <c r="E18" s="111">
        <f>+'PROYECCIONES Y ESTIMACIONES'!E4</f>
        <v>409500</v>
      </c>
      <c r="F18" s="111">
        <f>+'PROYECCIONES Y ESTIMACIONES'!F4</f>
        <v>429975</v>
      </c>
      <c r="G18" s="111">
        <f>+'PROYECCIONES Y ESTIMACIONES'!G4</f>
        <v>451474</v>
      </c>
      <c r="H18" s="111">
        <f>+'PROYECCIONES Y ESTIMACIONES'!H4</f>
        <v>474048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</row>
    <row r="19" spans="1:257" s="80" customFormat="1" x14ac:dyDescent="0.3">
      <c r="A19" s="75"/>
      <c r="B19" s="134" t="s">
        <v>260</v>
      </c>
      <c r="C19" s="110"/>
      <c r="D19" s="248">
        <v>0.8</v>
      </c>
      <c r="E19" s="248">
        <f>+D19</f>
        <v>0.8</v>
      </c>
      <c r="F19" s="248">
        <v>1</v>
      </c>
      <c r="G19" s="248">
        <v>1</v>
      </c>
      <c r="H19" s="248">
        <v>1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</row>
    <row r="20" spans="1:257" s="80" customFormat="1" x14ac:dyDescent="0.3">
      <c r="A20" s="75"/>
      <c r="B20" s="134" t="s">
        <v>219</v>
      </c>
      <c r="C20" s="110"/>
      <c r="D20" s="111">
        <f>+D18*D19</f>
        <v>312000</v>
      </c>
      <c r="E20" s="111">
        <f>+E18*E19</f>
        <v>327600</v>
      </c>
      <c r="F20" s="111">
        <f t="shared" ref="F20:H20" si="0">+F18*F19</f>
        <v>429975</v>
      </c>
      <c r="G20" s="111">
        <f t="shared" si="0"/>
        <v>451474</v>
      </c>
      <c r="H20" s="111">
        <f t="shared" si="0"/>
        <v>474048</v>
      </c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</row>
    <row r="21" spans="1:257" s="75" customFormat="1" x14ac:dyDescent="0.3">
      <c r="B21" s="148" t="s">
        <v>87</v>
      </c>
      <c r="C21" s="112">
        <v>347830</v>
      </c>
      <c r="D21" s="112">
        <f>+C21*(1+C8)</f>
        <v>369294.58929999999</v>
      </c>
      <c r="E21" s="112">
        <f>+D21*(1+C9)</f>
        <v>390634.27714270051</v>
      </c>
      <c r="F21" s="112">
        <f>+E21*(1+C10)</f>
        <v>413457.28010190139</v>
      </c>
      <c r="G21" s="112">
        <f>+F21*(1+C11)</f>
        <v>437805.88269142236</v>
      </c>
      <c r="H21" s="112">
        <f>+G21*(1+C12)</f>
        <v>463430.5624990277</v>
      </c>
    </row>
    <row r="22" spans="1:257" s="75" customFormat="1" x14ac:dyDescent="0.3">
      <c r="B22" s="134" t="s">
        <v>79</v>
      </c>
      <c r="C22" s="113">
        <v>0</v>
      </c>
      <c r="D22" s="112">
        <f>+D20*D21</f>
        <v>115219911861.59999</v>
      </c>
      <c r="E22" s="112">
        <f>+E20*E21</f>
        <v>127971789191.94868</v>
      </c>
      <c r="F22" s="112">
        <f t="shared" ref="F22:H22" si="1">+F20*F21</f>
        <v>177776294011.81506</v>
      </c>
      <c r="G22" s="112">
        <f t="shared" si="1"/>
        <v>197657973082.22723</v>
      </c>
      <c r="H22" s="112">
        <f t="shared" si="1"/>
        <v>219688331291.53909</v>
      </c>
    </row>
    <row r="24" spans="1:257" x14ac:dyDescent="0.3">
      <c r="B24" s="370" t="s">
        <v>135</v>
      </c>
      <c r="C24" s="370"/>
      <c r="D24" s="370"/>
      <c r="E24" s="370"/>
      <c r="F24" s="370"/>
      <c r="G24" s="370"/>
      <c r="H24" s="370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</row>
    <row r="25" spans="1:257" x14ac:dyDescent="0.3">
      <c r="B25" s="377" t="s">
        <v>136</v>
      </c>
      <c r="C25" s="377"/>
      <c r="D25" s="377"/>
      <c r="E25" s="377"/>
      <c r="F25" s="377"/>
      <c r="G25" s="377"/>
      <c r="H25" s="377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D25" s="116"/>
      <c r="EE25" s="116"/>
      <c r="EF25" s="116"/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116"/>
      <c r="FF25" s="116"/>
      <c r="FG25" s="116"/>
      <c r="FH25" s="116"/>
      <c r="FI25" s="116"/>
      <c r="FJ25" s="116"/>
      <c r="FK25" s="116"/>
      <c r="FL25" s="116"/>
      <c r="FM25" s="116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116"/>
      <c r="FY25" s="116"/>
      <c r="FZ25" s="116"/>
      <c r="GA25" s="116"/>
      <c r="GB25" s="116"/>
      <c r="GC25" s="116"/>
      <c r="GD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6"/>
      <c r="GU25" s="116"/>
      <c r="GV25" s="116"/>
      <c r="GW25" s="116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16"/>
      <c r="HI25" s="116"/>
      <c r="HJ25" s="116"/>
      <c r="HK25" s="116"/>
      <c r="HL25" s="116"/>
      <c r="HM25" s="116"/>
      <c r="HN25" s="116"/>
      <c r="HO25" s="116"/>
      <c r="HP25" s="116"/>
      <c r="HQ25" s="116"/>
      <c r="HR25" s="116"/>
      <c r="HS25" s="116"/>
      <c r="HT25" s="116"/>
      <c r="HU25" s="116"/>
      <c r="HV25" s="116"/>
      <c r="HW25" s="116"/>
      <c r="HX25" s="116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</row>
    <row r="26" spans="1:257" s="75" customFormat="1" x14ac:dyDescent="0.3">
      <c r="B26" s="147" t="s">
        <v>76</v>
      </c>
      <c r="C26" s="39">
        <v>0</v>
      </c>
      <c r="D26" s="39">
        <f>+C26+1</f>
        <v>1</v>
      </c>
      <c r="E26" s="39">
        <f>+D26+1</f>
        <v>2</v>
      </c>
      <c r="F26" s="39">
        <f>+E26+1</f>
        <v>3</v>
      </c>
      <c r="G26" s="39">
        <f>+F26+1</f>
        <v>4</v>
      </c>
      <c r="H26" s="39">
        <f>+G26+1</f>
        <v>5</v>
      </c>
      <c r="I26" s="79"/>
      <c r="J26" s="79"/>
      <c r="K26" s="79"/>
      <c r="L26" s="24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79"/>
      <c r="FF26" s="79"/>
      <c r="FG26" s="79"/>
      <c r="FH26" s="79"/>
      <c r="FI26" s="79"/>
      <c r="FJ26" s="79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79"/>
      <c r="GE26" s="79"/>
      <c r="GF26" s="79"/>
      <c r="GG26" s="79"/>
      <c r="GH26" s="79"/>
      <c r="GI26" s="79"/>
      <c r="GJ26" s="79"/>
      <c r="GK26" s="79"/>
      <c r="GL26" s="79"/>
      <c r="GM26" s="79"/>
      <c r="GN26" s="79"/>
      <c r="GO26" s="79"/>
      <c r="GP26" s="79"/>
      <c r="GQ26" s="79"/>
      <c r="GR26" s="79"/>
      <c r="GS26" s="79"/>
      <c r="GT26" s="79"/>
      <c r="GU26" s="79"/>
      <c r="GV26" s="79"/>
      <c r="GW26" s="79"/>
      <c r="GX26" s="79"/>
      <c r="GY26" s="79"/>
      <c r="GZ26" s="79"/>
      <c r="HA26" s="79"/>
      <c r="HB26" s="79"/>
      <c r="HC26" s="79"/>
      <c r="HD26" s="79"/>
      <c r="HE26" s="79"/>
      <c r="HF26" s="79"/>
      <c r="HG26" s="79"/>
      <c r="HH26" s="79"/>
      <c r="HI26" s="79"/>
      <c r="HJ26" s="79"/>
      <c r="HK26" s="79"/>
      <c r="HL26" s="79"/>
      <c r="HM26" s="79"/>
      <c r="HN26" s="79"/>
      <c r="HO26" s="79"/>
      <c r="HP26" s="79"/>
      <c r="HQ26" s="79"/>
      <c r="HR26" s="79"/>
      <c r="HS26" s="79"/>
      <c r="HT26" s="79"/>
      <c r="HU26" s="79"/>
      <c r="HV26" s="79"/>
      <c r="HW26" s="79"/>
      <c r="HX26" s="79"/>
      <c r="HY26" s="79"/>
      <c r="HZ26" s="79"/>
      <c r="IA26" s="79"/>
      <c r="IB26" s="79"/>
      <c r="IC26" s="79"/>
      <c r="ID26" s="79"/>
      <c r="IE26" s="79"/>
      <c r="IF26" s="79"/>
      <c r="IG26" s="79"/>
      <c r="IH26" s="79"/>
      <c r="II26" s="79"/>
      <c r="IJ26" s="79"/>
      <c r="IK26" s="79"/>
      <c r="IL26" s="79"/>
      <c r="IM26" s="79"/>
      <c r="IN26" s="79"/>
      <c r="IO26" s="79"/>
      <c r="IP26" s="79"/>
      <c r="IQ26" s="79"/>
      <c r="IR26" s="79"/>
      <c r="IS26" s="79"/>
      <c r="IT26" s="79"/>
      <c r="IU26" s="79"/>
      <c r="IV26" s="79"/>
      <c r="IW26" s="79"/>
    </row>
    <row r="27" spans="1:257" x14ac:dyDescent="0.3">
      <c r="B27" s="138" t="s">
        <v>137</v>
      </c>
      <c r="C27" s="252">
        <f>+SUM('CALCULO COSTOS E INVERSIONES'!G9:G24)</f>
        <v>30705000</v>
      </c>
      <c r="D27" s="252">
        <f>+SUM('CALCULO COSTOS E INVERSIONES'!J9:J23)</f>
        <v>0</v>
      </c>
      <c r="E27" s="252">
        <f>+SUM('CALCULO COSTOS E INVERSIONES'!M9:M23)</f>
        <v>11674218.183878249</v>
      </c>
      <c r="F27" s="252">
        <f>+SUM('CALCULO COSTOS E INVERSIONES'!P9:P23)</f>
        <v>0</v>
      </c>
      <c r="G27" s="252">
        <f>+SUM('CALCULO COSTOS E INVERSIONES'!S9:S23)</f>
        <v>0</v>
      </c>
      <c r="H27" s="252">
        <f>+SUM('CALCULO COSTOS E INVERSIONES'!V9:V23)</f>
        <v>2398226.1808879329</v>
      </c>
      <c r="I27" s="129"/>
      <c r="J27" s="130"/>
      <c r="K27" s="129"/>
      <c r="L27" s="130"/>
      <c r="M27" s="130"/>
      <c r="N27" s="130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</row>
    <row r="28" spans="1:257" x14ac:dyDescent="0.3">
      <c r="B28" s="138" t="s">
        <v>138</v>
      </c>
      <c r="C28" s="252">
        <f>+SUM('CALCULO COSTOS E INVERSIONES'!G25:G29)</f>
        <v>40000000</v>
      </c>
      <c r="D28" s="253">
        <v>0</v>
      </c>
      <c r="E28" s="253">
        <v>0</v>
      </c>
      <c r="F28" s="253">
        <v>0</v>
      </c>
      <c r="G28" s="253">
        <v>0</v>
      </c>
      <c r="H28" s="253">
        <v>0</v>
      </c>
      <c r="I28" s="129"/>
      <c r="J28" s="130"/>
      <c r="K28" s="129"/>
      <c r="L28" s="130"/>
      <c r="M28" s="130"/>
      <c r="N28" s="130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</row>
    <row r="29" spans="1:257" x14ac:dyDescent="0.3">
      <c r="B29" s="138" t="s">
        <v>139</v>
      </c>
      <c r="C29" s="252">
        <v>0</v>
      </c>
      <c r="D29" s="253">
        <v>0</v>
      </c>
      <c r="E29" s="252">
        <v>0</v>
      </c>
      <c r="F29" s="253">
        <v>0</v>
      </c>
      <c r="G29" s="252">
        <v>0</v>
      </c>
      <c r="H29" s="253"/>
      <c r="I29" s="129"/>
      <c r="J29" s="130"/>
      <c r="K29" s="130"/>
      <c r="L29" s="130"/>
      <c r="M29" s="129"/>
      <c r="N29" s="130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</row>
    <row r="30" spans="1:257" x14ac:dyDescent="0.3">
      <c r="B30" s="138" t="s">
        <v>140</v>
      </c>
      <c r="C30" s="254">
        <f>+C43</f>
        <v>0</v>
      </c>
      <c r="D30" s="254">
        <f>+D44</f>
        <v>9426013316.5295601</v>
      </c>
      <c r="E30" s="254">
        <f t="shared" ref="E30:H30" si="2">+E44</f>
        <v>968283302.43560219</v>
      </c>
      <c r="F30" s="254">
        <f t="shared" si="2"/>
        <v>1219966080.0382061</v>
      </c>
      <c r="G30" s="254">
        <f t="shared" si="2"/>
        <v>1208294085.2667618</v>
      </c>
      <c r="H30" s="254">
        <f t="shared" si="2"/>
        <v>1333269502.1509628</v>
      </c>
      <c r="I30" s="129"/>
      <c r="J30" s="130"/>
      <c r="K30" s="129"/>
      <c r="L30" s="131"/>
      <c r="M30" s="130"/>
      <c r="N30" s="130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</row>
    <row r="31" spans="1:257" x14ac:dyDescent="0.3">
      <c r="B31" s="133" t="s">
        <v>141</v>
      </c>
      <c r="C31" s="172">
        <f>+SUM(C27:C30)</f>
        <v>70705000</v>
      </c>
      <c r="D31" s="172">
        <f>+SUM(D27:D30)</f>
        <v>9426013316.5295601</v>
      </c>
      <c r="E31" s="172">
        <f>+SUM(E27:E30)</f>
        <v>979957520.61948049</v>
      </c>
      <c r="F31" s="172">
        <f t="shared" ref="F31:H31" si="3">+SUM(F27:F30)</f>
        <v>1219966080.0382061</v>
      </c>
      <c r="G31" s="172">
        <f t="shared" si="3"/>
        <v>1208294085.2667618</v>
      </c>
      <c r="H31" s="172">
        <f t="shared" si="3"/>
        <v>1335667728.3318508</v>
      </c>
      <c r="I31" s="129"/>
      <c r="J31" s="130"/>
      <c r="K31" s="130"/>
      <c r="L31" s="130"/>
      <c r="M31" s="130"/>
      <c r="N31" s="129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</row>
    <row r="32" spans="1:257" x14ac:dyDescent="0.3">
      <c r="B32" s="139"/>
      <c r="C32" s="136"/>
      <c r="D32" s="132"/>
      <c r="E32" s="132"/>
      <c r="F32" s="132"/>
      <c r="G32" s="132"/>
      <c r="H32" s="132"/>
      <c r="I32" s="129"/>
      <c r="J32" s="130"/>
      <c r="K32" s="130"/>
      <c r="L32" s="130"/>
      <c r="M32" s="130"/>
      <c r="N32" s="129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</row>
    <row r="33" spans="2:257" x14ac:dyDescent="0.3">
      <c r="B33" s="374" t="s">
        <v>246</v>
      </c>
      <c r="C33" s="374"/>
      <c r="D33" s="374"/>
      <c r="E33" s="374"/>
      <c r="F33" s="374"/>
      <c r="G33" s="374"/>
      <c r="H33" s="374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  <c r="DM33" s="116"/>
      <c r="DN33" s="116"/>
      <c r="DO33" s="116"/>
      <c r="DP33" s="116"/>
      <c r="DQ33" s="116"/>
      <c r="DR33" s="116"/>
      <c r="DS33" s="116"/>
      <c r="DT33" s="116"/>
      <c r="DU33" s="116"/>
      <c r="DV33" s="116"/>
      <c r="DW33" s="116"/>
      <c r="DX33" s="116"/>
      <c r="DY33" s="116"/>
      <c r="DZ33" s="116"/>
      <c r="EA33" s="116"/>
      <c r="EB33" s="116"/>
      <c r="EC33" s="116"/>
      <c r="ED33" s="116"/>
      <c r="EE33" s="116"/>
      <c r="EF33" s="116"/>
      <c r="EG33" s="116"/>
      <c r="EH33" s="116"/>
      <c r="EI33" s="116"/>
      <c r="EJ33" s="116"/>
      <c r="EK33" s="116"/>
      <c r="EL33" s="116"/>
      <c r="EM33" s="116"/>
      <c r="EN33" s="116"/>
      <c r="EO33" s="116"/>
      <c r="EP33" s="116"/>
      <c r="EQ33" s="116"/>
      <c r="ER33" s="116"/>
      <c r="ES33" s="116"/>
      <c r="ET33" s="116"/>
      <c r="EU33" s="116"/>
      <c r="EV33" s="116"/>
      <c r="EW33" s="116"/>
      <c r="EX33" s="116"/>
      <c r="EY33" s="116"/>
      <c r="EZ33" s="116"/>
      <c r="FA33" s="116"/>
      <c r="FB33" s="116"/>
      <c r="FC33" s="116"/>
      <c r="FD33" s="116"/>
      <c r="FE33" s="116"/>
      <c r="FF33" s="116"/>
      <c r="FG33" s="116"/>
      <c r="FH33" s="116"/>
      <c r="FI33" s="116"/>
      <c r="FJ33" s="116"/>
      <c r="FK33" s="116"/>
      <c r="FL33" s="116"/>
      <c r="FM33" s="116"/>
      <c r="FN33" s="116"/>
      <c r="FO33" s="116"/>
      <c r="FP33" s="116"/>
      <c r="FQ33" s="116"/>
      <c r="FR33" s="116"/>
      <c r="FS33" s="116"/>
      <c r="FT33" s="116"/>
      <c r="FU33" s="116"/>
      <c r="FV33" s="116"/>
      <c r="FW33" s="116"/>
      <c r="FX33" s="116"/>
      <c r="FY33" s="116"/>
      <c r="FZ33" s="116"/>
      <c r="GA33" s="116"/>
      <c r="GB33" s="116"/>
      <c r="GC33" s="116"/>
      <c r="GD33" s="116"/>
      <c r="GE33" s="116"/>
      <c r="GF33" s="116"/>
      <c r="GG33" s="116"/>
      <c r="GH33" s="116"/>
      <c r="GI33" s="116"/>
      <c r="GJ33" s="116"/>
      <c r="GK33" s="116"/>
      <c r="GL33" s="116"/>
      <c r="GM33" s="116"/>
      <c r="GN33" s="116"/>
      <c r="GO33" s="116"/>
      <c r="GP33" s="116"/>
      <c r="GQ33" s="116"/>
      <c r="GR33" s="116"/>
      <c r="GS33" s="116"/>
      <c r="GT33" s="116"/>
      <c r="GU33" s="116"/>
      <c r="GV33" s="116"/>
      <c r="GW33" s="116"/>
      <c r="GX33" s="116"/>
      <c r="GY33" s="116"/>
      <c r="GZ33" s="116"/>
      <c r="HA33" s="116"/>
      <c r="HB33" s="116"/>
      <c r="HC33" s="116"/>
      <c r="HD33" s="116"/>
      <c r="HE33" s="116"/>
      <c r="HF33" s="116"/>
      <c r="HG33" s="116"/>
      <c r="HH33" s="116"/>
      <c r="HI33" s="116"/>
      <c r="HJ33" s="116"/>
      <c r="HK33" s="116"/>
      <c r="HL33" s="116"/>
      <c r="HM33" s="116"/>
      <c r="HN33" s="116"/>
      <c r="HO33" s="116"/>
      <c r="HP33" s="116"/>
      <c r="HQ33" s="116"/>
      <c r="HR33" s="116"/>
      <c r="HS33" s="116"/>
      <c r="HT33" s="116"/>
      <c r="HU33" s="116"/>
      <c r="HV33" s="116"/>
      <c r="HW33" s="116"/>
      <c r="HX33" s="116"/>
      <c r="HY33" s="116"/>
      <c r="HZ33" s="116"/>
      <c r="IA33" s="116"/>
      <c r="IB33" s="116"/>
      <c r="IC33" s="116"/>
      <c r="ID33" s="116"/>
      <c r="IE33" s="116"/>
      <c r="IF33" s="116"/>
      <c r="IG33" s="116"/>
      <c r="IH33" s="116"/>
      <c r="II33" s="116"/>
      <c r="IJ33" s="116"/>
      <c r="IK33" s="116"/>
      <c r="IL33" s="116"/>
      <c r="IM33" s="116"/>
      <c r="IN33" s="116"/>
      <c r="IO33" s="116"/>
      <c r="IP33" s="116"/>
      <c r="IQ33" s="116"/>
      <c r="IR33" s="116"/>
      <c r="IS33" s="116"/>
      <c r="IT33" s="116"/>
      <c r="IU33" s="116"/>
      <c r="IV33" s="116"/>
      <c r="IW33" s="116"/>
    </row>
    <row r="34" spans="2:257" x14ac:dyDescent="0.3">
      <c r="B34" s="147" t="s">
        <v>76</v>
      </c>
      <c r="C34" s="39">
        <v>0</v>
      </c>
      <c r="D34" s="39">
        <f>+C34+1</f>
        <v>1</v>
      </c>
      <c r="E34" s="39">
        <f>+D34+1</f>
        <v>2</v>
      </c>
      <c r="F34" s="39">
        <f>+E34+1</f>
        <v>3</v>
      </c>
      <c r="G34" s="39">
        <f>+F34+1</f>
        <v>4</v>
      </c>
      <c r="H34" s="39">
        <f>+G34+1</f>
        <v>5</v>
      </c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6"/>
      <c r="ED34" s="116"/>
      <c r="EE34" s="116"/>
      <c r="EF34" s="116"/>
      <c r="EG34" s="116"/>
      <c r="EH34" s="116"/>
      <c r="EI34" s="116"/>
      <c r="EJ34" s="116"/>
      <c r="EK34" s="116"/>
      <c r="EL34" s="116"/>
      <c r="EM34" s="116"/>
      <c r="EN34" s="116"/>
      <c r="EO34" s="116"/>
      <c r="EP34" s="116"/>
      <c r="EQ34" s="116"/>
      <c r="ER34" s="116"/>
      <c r="ES34" s="116"/>
      <c r="ET34" s="116"/>
      <c r="EU34" s="116"/>
      <c r="EV34" s="116"/>
      <c r="EW34" s="116"/>
      <c r="EX34" s="116"/>
      <c r="EY34" s="116"/>
      <c r="EZ34" s="116"/>
      <c r="FA34" s="116"/>
      <c r="FB34" s="116"/>
      <c r="FC34" s="116"/>
      <c r="FD34" s="116"/>
      <c r="FE34" s="116"/>
      <c r="FF34" s="116"/>
      <c r="FG34" s="116"/>
      <c r="FH34" s="116"/>
      <c r="FI34" s="116"/>
      <c r="FJ34" s="116"/>
      <c r="FK34" s="116"/>
      <c r="FL34" s="116"/>
      <c r="FM34" s="116"/>
      <c r="FN34" s="116"/>
      <c r="FO34" s="116"/>
      <c r="FP34" s="116"/>
      <c r="FQ34" s="116"/>
      <c r="FR34" s="116"/>
      <c r="FS34" s="116"/>
      <c r="FT34" s="116"/>
      <c r="FU34" s="116"/>
      <c r="FV34" s="116"/>
      <c r="FW34" s="116"/>
      <c r="FX34" s="116"/>
      <c r="FY34" s="116"/>
      <c r="FZ34" s="116"/>
      <c r="GA34" s="116"/>
      <c r="GB34" s="116"/>
      <c r="GC34" s="116"/>
      <c r="GD34" s="116"/>
      <c r="GE34" s="116"/>
      <c r="GF34" s="116"/>
      <c r="GG34" s="116"/>
      <c r="GH34" s="116"/>
      <c r="GI34" s="116"/>
      <c r="GJ34" s="116"/>
      <c r="GK34" s="116"/>
      <c r="GL34" s="116"/>
      <c r="GM34" s="116"/>
      <c r="GN34" s="116"/>
      <c r="GO34" s="116"/>
      <c r="GP34" s="116"/>
      <c r="GQ34" s="116"/>
      <c r="GR34" s="116"/>
      <c r="GS34" s="116"/>
      <c r="GT34" s="116"/>
      <c r="GU34" s="116"/>
      <c r="GV34" s="116"/>
      <c r="GW34" s="116"/>
      <c r="GX34" s="116"/>
      <c r="GY34" s="116"/>
      <c r="GZ34" s="116"/>
      <c r="HA34" s="116"/>
      <c r="HB34" s="116"/>
      <c r="HC34" s="116"/>
      <c r="HD34" s="116"/>
      <c r="HE34" s="116"/>
      <c r="HF34" s="116"/>
      <c r="HG34" s="116"/>
      <c r="HH34" s="116"/>
      <c r="HI34" s="116"/>
      <c r="HJ34" s="116"/>
      <c r="HK34" s="116"/>
      <c r="HL34" s="116"/>
      <c r="HM34" s="116"/>
      <c r="HN34" s="116"/>
      <c r="HO34" s="116"/>
      <c r="HP34" s="116"/>
      <c r="HQ34" s="116"/>
      <c r="HR34" s="116"/>
      <c r="HS34" s="116"/>
      <c r="HT34" s="116"/>
      <c r="HU34" s="116"/>
      <c r="HV34" s="116"/>
      <c r="HW34" s="116"/>
      <c r="HX34" s="116"/>
      <c r="HY34" s="116"/>
      <c r="HZ34" s="116"/>
      <c r="IA34" s="116"/>
      <c r="IB34" s="116"/>
      <c r="IC34" s="116"/>
      <c r="ID34" s="116"/>
      <c r="IE34" s="116"/>
      <c r="IF34" s="116"/>
      <c r="IG34" s="116"/>
      <c r="IH34" s="116"/>
      <c r="II34" s="116"/>
      <c r="IJ34" s="116"/>
      <c r="IK34" s="116"/>
      <c r="IL34" s="116"/>
      <c r="IM34" s="116"/>
      <c r="IN34" s="116"/>
      <c r="IO34" s="116"/>
      <c r="IP34" s="116"/>
      <c r="IQ34" s="116"/>
      <c r="IR34" s="116"/>
      <c r="IS34" s="116"/>
      <c r="IT34" s="116"/>
      <c r="IU34" s="116"/>
      <c r="IV34" s="116"/>
      <c r="IW34" s="116"/>
    </row>
    <row r="35" spans="2:257" x14ac:dyDescent="0.3">
      <c r="B35" s="218" t="s">
        <v>244</v>
      </c>
      <c r="C35" s="217">
        <v>90</v>
      </c>
      <c r="D35" s="217">
        <f>+C35</f>
        <v>90</v>
      </c>
      <c r="E35" s="217">
        <f t="shared" ref="E35:H35" si="4">+D35</f>
        <v>90</v>
      </c>
      <c r="F35" s="217">
        <f t="shared" si="4"/>
        <v>90</v>
      </c>
      <c r="G35" s="217">
        <f t="shared" si="4"/>
        <v>90</v>
      </c>
      <c r="H35" s="217">
        <f t="shared" si="4"/>
        <v>90</v>
      </c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  <c r="DO35" s="116"/>
      <c r="DP35" s="116"/>
      <c r="DQ35" s="116"/>
      <c r="DR35" s="116"/>
      <c r="DS35" s="116"/>
      <c r="DT35" s="116"/>
      <c r="DU35" s="116"/>
      <c r="DV35" s="116"/>
      <c r="DW35" s="116"/>
      <c r="DX35" s="116"/>
      <c r="DY35" s="116"/>
      <c r="DZ35" s="116"/>
      <c r="EA35" s="116"/>
      <c r="EB35" s="116"/>
      <c r="EC35" s="116"/>
      <c r="ED35" s="116"/>
      <c r="EE35" s="116"/>
      <c r="EF35" s="116"/>
      <c r="EG35" s="116"/>
      <c r="EH35" s="116"/>
      <c r="EI35" s="116"/>
      <c r="EJ35" s="116"/>
      <c r="EK35" s="116"/>
      <c r="EL35" s="116"/>
      <c r="EM35" s="116"/>
      <c r="EN35" s="116"/>
      <c r="EO35" s="116"/>
      <c r="EP35" s="116"/>
      <c r="EQ35" s="116"/>
      <c r="ER35" s="116"/>
      <c r="ES35" s="116"/>
      <c r="ET35" s="116"/>
      <c r="EU35" s="116"/>
      <c r="EV35" s="116"/>
      <c r="EW35" s="116"/>
      <c r="EX35" s="116"/>
      <c r="EY35" s="116"/>
      <c r="EZ35" s="116"/>
      <c r="FA35" s="116"/>
      <c r="FB35" s="116"/>
      <c r="FC35" s="116"/>
      <c r="FD35" s="116"/>
      <c r="FE35" s="116"/>
      <c r="FF35" s="116"/>
      <c r="FG35" s="116"/>
      <c r="FH35" s="116"/>
      <c r="FI35" s="116"/>
      <c r="FJ35" s="116"/>
      <c r="FK35" s="116"/>
      <c r="FL35" s="116"/>
      <c r="FM35" s="116"/>
      <c r="FN35" s="116"/>
      <c r="FO35" s="116"/>
      <c r="FP35" s="116"/>
      <c r="FQ35" s="116"/>
      <c r="FR35" s="116"/>
      <c r="FS35" s="116"/>
      <c r="FT35" s="116"/>
      <c r="FU35" s="116"/>
      <c r="FV35" s="116"/>
      <c r="FW35" s="116"/>
      <c r="FX35" s="116"/>
      <c r="FY35" s="116"/>
      <c r="FZ35" s="116"/>
      <c r="GA35" s="116"/>
      <c r="GB35" s="116"/>
      <c r="GC35" s="116"/>
      <c r="GD35" s="116"/>
      <c r="GE35" s="116"/>
      <c r="GF35" s="116"/>
      <c r="GG35" s="116"/>
      <c r="GH35" s="116"/>
      <c r="GI35" s="116"/>
      <c r="GJ35" s="116"/>
      <c r="GK35" s="116"/>
      <c r="GL35" s="116"/>
      <c r="GM35" s="116"/>
      <c r="GN35" s="116"/>
      <c r="GO35" s="116"/>
      <c r="GP35" s="116"/>
      <c r="GQ35" s="116"/>
      <c r="GR35" s="116"/>
      <c r="GS35" s="116"/>
      <c r="GT35" s="116"/>
      <c r="GU35" s="116"/>
      <c r="GV35" s="116"/>
      <c r="GW35" s="116"/>
      <c r="GX35" s="116"/>
      <c r="GY35" s="116"/>
      <c r="GZ35" s="116"/>
      <c r="HA35" s="116"/>
      <c r="HB35" s="116"/>
      <c r="HC35" s="116"/>
      <c r="HD35" s="116"/>
      <c r="HE35" s="116"/>
      <c r="HF35" s="116"/>
      <c r="HG35" s="116"/>
      <c r="HH35" s="116"/>
      <c r="HI35" s="116"/>
      <c r="HJ35" s="116"/>
      <c r="HK35" s="116"/>
      <c r="HL35" s="116"/>
      <c r="HM35" s="116"/>
      <c r="HN35" s="116"/>
      <c r="HO35" s="116"/>
      <c r="HP35" s="116"/>
      <c r="HQ35" s="116"/>
      <c r="HR35" s="116"/>
      <c r="HS35" s="116"/>
      <c r="HT35" s="116"/>
      <c r="HU35" s="116"/>
      <c r="HV35" s="116"/>
      <c r="HW35" s="116"/>
      <c r="HX35" s="116"/>
      <c r="HY35" s="116"/>
      <c r="HZ35" s="116"/>
      <c r="IA35" s="116"/>
      <c r="IB35" s="116"/>
      <c r="IC35" s="116"/>
      <c r="ID35" s="116"/>
      <c r="IE35" s="116"/>
      <c r="IF35" s="116"/>
      <c r="IG35" s="116"/>
      <c r="IH35" s="116"/>
      <c r="II35" s="116"/>
      <c r="IJ35" s="116"/>
      <c r="IK35" s="116"/>
      <c r="IL35" s="116"/>
      <c r="IM35" s="116"/>
      <c r="IN35" s="116"/>
      <c r="IO35" s="116"/>
      <c r="IP35" s="116"/>
      <c r="IQ35" s="116"/>
      <c r="IR35" s="116"/>
      <c r="IS35" s="116"/>
      <c r="IT35" s="116"/>
      <c r="IU35" s="116"/>
      <c r="IV35" s="116"/>
      <c r="IW35" s="116"/>
    </row>
    <row r="36" spans="2:257" x14ac:dyDescent="0.3">
      <c r="B36" s="222" t="s">
        <v>243</v>
      </c>
      <c r="C36" s="256">
        <f>+(C56/360)*C35</f>
        <v>0</v>
      </c>
      <c r="D36" s="256">
        <f t="shared" ref="D36:G36" si="5">+(D56/360)*D35</f>
        <v>1522974071.7265966</v>
      </c>
      <c r="E36" s="256">
        <f t="shared" si="5"/>
        <v>1616594433.023068</v>
      </c>
      <c r="F36" s="256">
        <f t="shared" si="5"/>
        <v>1711044771.0696573</v>
      </c>
      <c r="G36" s="256">
        <f t="shared" si="5"/>
        <v>1811808625.3991423</v>
      </c>
      <c r="H36" s="256">
        <f>+(H56/360)*H35</f>
        <v>1917853376.5868132</v>
      </c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6"/>
      <c r="DV36" s="116"/>
      <c r="DW36" s="116"/>
      <c r="DX36" s="116"/>
      <c r="DY36" s="116"/>
      <c r="DZ36" s="116"/>
      <c r="EA36" s="116"/>
      <c r="EB36" s="116"/>
      <c r="EC36" s="116"/>
      <c r="ED36" s="116"/>
      <c r="EE36" s="116"/>
      <c r="EF36" s="116"/>
      <c r="EG36" s="116"/>
      <c r="EH36" s="116"/>
      <c r="EI36" s="116"/>
      <c r="EJ36" s="116"/>
      <c r="EK36" s="116"/>
      <c r="EL36" s="116"/>
      <c r="EM36" s="116"/>
      <c r="EN36" s="116"/>
      <c r="EO36" s="116"/>
      <c r="EP36" s="116"/>
      <c r="EQ36" s="116"/>
      <c r="ER36" s="116"/>
      <c r="ES36" s="116"/>
      <c r="ET36" s="116"/>
      <c r="EU36" s="116"/>
      <c r="EV36" s="116"/>
      <c r="EW36" s="116"/>
      <c r="EX36" s="116"/>
      <c r="EY36" s="116"/>
      <c r="EZ36" s="116"/>
      <c r="FA36" s="116"/>
      <c r="FB36" s="116"/>
      <c r="FC36" s="116"/>
      <c r="FD36" s="116"/>
      <c r="FE36" s="116"/>
      <c r="FF36" s="116"/>
      <c r="FG36" s="116"/>
      <c r="FH36" s="116"/>
      <c r="FI36" s="116"/>
      <c r="FJ36" s="116"/>
      <c r="FK36" s="116"/>
      <c r="FL36" s="116"/>
      <c r="FM36" s="116"/>
      <c r="FN36" s="116"/>
      <c r="FO36" s="116"/>
      <c r="FP36" s="116"/>
      <c r="FQ36" s="116"/>
      <c r="FR36" s="116"/>
      <c r="FS36" s="116"/>
      <c r="FT36" s="116"/>
      <c r="FU36" s="116"/>
      <c r="FV36" s="116"/>
      <c r="FW36" s="116"/>
      <c r="FX36" s="116"/>
      <c r="FY36" s="116"/>
      <c r="FZ36" s="116"/>
      <c r="GA36" s="116"/>
      <c r="GB36" s="116"/>
      <c r="GC36" s="116"/>
      <c r="GD36" s="116"/>
      <c r="GE36" s="116"/>
      <c r="GF36" s="116"/>
      <c r="GG36" s="116"/>
      <c r="GH36" s="116"/>
      <c r="GI36" s="116"/>
      <c r="GJ36" s="116"/>
      <c r="GK36" s="116"/>
      <c r="GL36" s="116"/>
      <c r="GM36" s="116"/>
      <c r="GN36" s="116"/>
      <c r="GO36" s="116"/>
      <c r="GP36" s="116"/>
      <c r="GQ36" s="116"/>
      <c r="GR36" s="116"/>
      <c r="GS36" s="116"/>
      <c r="GT36" s="116"/>
      <c r="GU36" s="116"/>
      <c r="GV36" s="116"/>
      <c r="GW36" s="116"/>
      <c r="GX36" s="116"/>
      <c r="GY36" s="116"/>
      <c r="GZ36" s="116"/>
      <c r="HA36" s="116"/>
      <c r="HB36" s="116"/>
      <c r="HC36" s="116"/>
      <c r="HD36" s="116"/>
      <c r="HE36" s="116"/>
      <c r="HF36" s="116"/>
      <c r="HG36" s="116"/>
      <c r="HH36" s="116"/>
      <c r="HI36" s="116"/>
      <c r="HJ36" s="116"/>
      <c r="HK36" s="116"/>
      <c r="HL36" s="116"/>
      <c r="HM36" s="116"/>
      <c r="HN36" s="116"/>
      <c r="HO36" s="116"/>
      <c r="HP36" s="116"/>
      <c r="HQ36" s="116"/>
      <c r="HR36" s="116"/>
      <c r="HS36" s="116"/>
      <c r="HT36" s="116"/>
      <c r="HU36" s="116"/>
      <c r="HV36" s="116"/>
      <c r="HW36" s="116"/>
      <c r="HX36" s="116"/>
      <c r="HY36" s="116"/>
      <c r="HZ36" s="116"/>
      <c r="IA36" s="116"/>
      <c r="IB36" s="116"/>
      <c r="IC36" s="116"/>
      <c r="ID36" s="116"/>
      <c r="IE36" s="116"/>
      <c r="IF36" s="116"/>
      <c r="IG36" s="116"/>
      <c r="IH36" s="116"/>
      <c r="II36" s="116"/>
      <c r="IJ36" s="116"/>
      <c r="IK36" s="116"/>
      <c r="IL36" s="116"/>
      <c r="IM36" s="116"/>
      <c r="IN36" s="116"/>
      <c r="IO36" s="116"/>
      <c r="IP36" s="116"/>
      <c r="IQ36" s="116"/>
      <c r="IR36" s="116"/>
      <c r="IS36" s="116"/>
      <c r="IT36" s="116"/>
      <c r="IU36" s="116"/>
      <c r="IV36" s="116"/>
      <c r="IW36" s="116"/>
    </row>
    <row r="37" spans="2:257" x14ac:dyDescent="0.3">
      <c r="B37" s="138" t="s">
        <v>240</v>
      </c>
      <c r="C37" s="255">
        <v>30</v>
      </c>
      <c r="D37" s="255">
        <f>+C37</f>
        <v>30</v>
      </c>
      <c r="E37" s="255">
        <f t="shared" ref="E37:H37" si="6">+D37</f>
        <v>30</v>
      </c>
      <c r="F37" s="255">
        <f t="shared" si="6"/>
        <v>30</v>
      </c>
      <c r="G37" s="255">
        <f t="shared" si="6"/>
        <v>30</v>
      </c>
      <c r="H37" s="255">
        <f t="shared" si="6"/>
        <v>30</v>
      </c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6"/>
      <c r="DV37" s="116"/>
      <c r="DW37" s="116"/>
      <c r="DX37" s="116"/>
      <c r="DY37" s="116"/>
      <c r="DZ37" s="116"/>
      <c r="EA37" s="116"/>
      <c r="EB37" s="116"/>
      <c r="EC37" s="116"/>
      <c r="ED37" s="116"/>
      <c r="EE37" s="116"/>
      <c r="EF37" s="116"/>
      <c r="EG37" s="116"/>
      <c r="EH37" s="116"/>
      <c r="EI37" s="116"/>
      <c r="EJ37" s="116"/>
      <c r="EK37" s="116"/>
      <c r="EL37" s="116"/>
      <c r="EM37" s="116"/>
      <c r="EN37" s="116"/>
      <c r="EO37" s="116"/>
      <c r="EP37" s="116"/>
      <c r="EQ37" s="116"/>
      <c r="ER37" s="116"/>
      <c r="ES37" s="116"/>
      <c r="ET37" s="116"/>
      <c r="EU37" s="116"/>
      <c r="EV37" s="116"/>
      <c r="EW37" s="116"/>
      <c r="EX37" s="116"/>
      <c r="EY37" s="116"/>
      <c r="EZ37" s="116"/>
      <c r="FA37" s="116"/>
      <c r="FB37" s="116"/>
      <c r="FC37" s="116"/>
      <c r="FD37" s="116"/>
      <c r="FE37" s="116"/>
      <c r="FF37" s="116"/>
      <c r="FG37" s="116"/>
      <c r="FH37" s="116"/>
      <c r="FI37" s="116"/>
      <c r="FJ37" s="116"/>
      <c r="FK37" s="116"/>
      <c r="FL37" s="116"/>
      <c r="FM37" s="116"/>
      <c r="FN37" s="116"/>
      <c r="FO37" s="116"/>
      <c r="FP37" s="116"/>
      <c r="FQ37" s="116"/>
      <c r="FR37" s="116"/>
      <c r="FS37" s="116"/>
      <c r="FT37" s="116"/>
      <c r="FU37" s="116"/>
      <c r="FV37" s="116"/>
      <c r="FW37" s="116"/>
      <c r="FX37" s="116"/>
      <c r="FY37" s="116"/>
      <c r="FZ37" s="116"/>
      <c r="GA37" s="116"/>
      <c r="GB37" s="116"/>
      <c r="GC37" s="116"/>
      <c r="GD37" s="116"/>
      <c r="GE37" s="116"/>
      <c r="GF37" s="116"/>
      <c r="GG37" s="116"/>
      <c r="GH37" s="116"/>
      <c r="GI37" s="116"/>
      <c r="GJ37" s="116"/>
      <c r="GK37" s="116"/>
      <c r="GL37" s="116"/>
      <c r="GM37" s="116"/>
      <c r="GN37" s="116"/>
      <c r="GO37" s="116"/>
      <c r="GP37" s="116"/>
      <c r="GQ37" s="116"/>
      <c r="GR37" s="116"/>
      <c r="GS37" s="116"/>
      <c r="GT37" s="116"/>
      <c r="GU37" s="116"/>
      <c r="GV37" s="116"/>
      <c r="GW37" s="116"/>
      <c r="GX37" s="116"/>
      <c r="GY37" s="116"/>
      <c r="GZ37" s="116"/>
      <c r="HA37" s="116"/>
      <c r="HB37" s="116"/>
      <c r="HC37" s="116"/>
      <c r="HD37" s="116"/>
      <c r="HE37" s="116"/>
      <c r="HF37" s="116"/>
      <c r="HG37" s="116"/>
      <c r="HH37" s="116"/>
      <c r="HI37" s="116"/>
      <c r="HJ37" s="116"/>
      <c r="HK37" s="116"/>
      <c r="HL37" s="116"/>
      <c r="HM37" s="116"/>
      <c r="HN37" s="116"/>
      <c r="HO37" s="116"/>
      <c r="HP37" s="116"/>
      <c r="HQ37" s="116"/>
      <c r="HR37" s="116"/>
      <c r="HS37" s="116"/>
      <c r="HT37" s="116"/>
      <c r="HU37" s="116"/>
      <c r="HV37" s="116"/>
      <c r="HW37" s="116"/>
      <c r="HX37" s="116"/>
      <c r="HY37" s="116"/>
      <c r="HZ37" s="116"/>
      <c r="IA37" s="116"/>
      <c r="IB37" s="116"/>
      <c r="IC37" s="116"/>
      <c r="ID37" s="116"/>
      <c r="IE37" s="116"/>
      <c r="IF37" s="116"/>
      <c r="IG37" s="116"/>
      <c r="IH37" s="116"/>
      <c r="II37" s="116"/>
      <c r="IJ37" s="116"/>
      <c r="IK37" s="116"/>
      <c r="IL37" s="116"/>
      <c r="IM37" s="116"/>
      <c r="IN37" s="116"/>
      <c r="IO37" s="116"/>
      <c r="IP37" s="116"/>
      <c r="IQ37" s="116"/>
      <c r="IR37" s="116"/>
      <c r="IS37" s="116"/>
      <c r="IT37" s="116"/>
      <c r="IU37" s="116"/>
      <c r="IV37" s="116"/>
      <c r="IW37" s="116"/>
    </row>
    <row r="38" spans="2:257" x14ac:dyDescent="0.3">
      <c r="B38" s="152" t="s">
        <v>241</v>
      </c>
      <c r="C38" s="257">
        <f>+(C55/360)*C37</f>
        <v>0</v>
      </c>
      <c r="D38" s="257">
        <f t="shared" ref="D38:H38" si="7">+(D55/360)*D37</f>
        <v>9682116885.2777767</v>
      </c>
      <c r="E38" s="257">
        <f t="shared" si="7"/>
        <v>10753677909.968229</v>
      </c>
      <c r="F38" s="257">
        <f t="shared" si="7"/>
        <v>11951065264.631935</v>
      </c>
      <c r="G38" s="257">
        <f t="shared" si="7"/>
        <v>13287617310.037012</v>
      </c>
      <c r="H38" s="257">
        <f t="shared" si="7"/>
        <v>14768615038.416786</v>
      </c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6"/>
      <c r="DV38" s="116"/>
      <c r="DW38" s="116"/>
      <c r="DX38" s="116"/>
      <c r="DY38" s="116"/>
      <c r="DZ38" s="116"/>
      <c r="EA38" s="116"/>
      <c r="EB38" s="116"/>
      <c r="EC38" s="116"/>
      <c r="ED38" s="116"/>
      <c r="EE38" s="116"/>
      <c r="EF38" s="116"/>
      <c r="EG38" s="116"/>
      <c r="EH38" s="116"/>
      <c r="EI38" s="116"/>
      <c r="EJ38" s="116"/>
      <c r="EK38" s="116"/>
      <c r="EL38" s="116"/>
      <c r="EM38" s="116"/>
      <c r="EN38" s="116"/>
      <c r="EO38" s="116"/>
      <c r="EP38" s="116"/>
      <c r="EQ38" s="116"/>
      <c r="ER38" s="116"/>
      <c r="ES38" s="116"/>
      <c r="ET38" s="116"/>
      <c r="EU38" s="116"/>
      <c r="EV38" s="116"/>
      <c r="EW38" s="116"/>
      <c r="EX38" s="116"/>
      <c r="EY38" s="116"/>
      <c r="EZ38" s="116"/>
      <c r="FA38" s="116"/>
      <c r="FB38" s="116"/>
      <c r="FC38" s="116"/>
      <c r="FD38" s="116"/>
      <c r="FE38" s="116"/>
      <c r="FF38" s="116"/>
      <c r="FG38" s="116"/>
      <c r="FH38" s="116"/>
      <c r="FI38" s="116"/>
      <c r="FJ38" s="116"/>
      <c r="FK38" s="116"/>
      <c r="FL38" s="116"/>
      <c r="FM38" s="116"/>
      <c r="FN38" s="116"/>
      <c r="FO38" s="116"/>
      <c r="FP38" s="116"/>
      <c r="FQ38" s="116"/>
      <c r="FR38" s="116"/>
      <c r="FS38" s="116"/>
      <c r="FT38" s="116"/>
      <c r="FU38" s="116"/>
      <c r="FV38" s="116"/>
      <c r="FW38" s="116"/>
      <c r="FX38" s="116"/>
      <c r="FY38" s="116"/>
      <c r="FZ38" s="116"/>
      <c r="GA38" s="116"/>
      <c r="GB38" s="116"/>
      <c r="GC38" s="116"/>
      <c r="GD38" s="116"/>
      <c r="GE38" s="116"/>
      <c r="GF38" s="116"/>
      <c r="GG38" s="116"/>
      <c r="GH38" s="116"/>
      <c r="GI38" s="116"/>
      <c r="GJ38" s="116"/>
      <c r="GK38" s="116"/>
      <c r="GL38" s="116"/>
      <c r="GM38" s="116"/>
      <c r="GN38" s="116"/>
      <c r="GO38" s="116"/>
      <c r="GP38" s="116"/>
      <c r="GQ38" s="116"/>
      <c r="GR38" s="116"/>
      <c r="GS38" s="116"/>
      <c r="GT38" s="116"/>
      <c r="GU38" s="116"/>
      <c r="GV38" s="116"/>
      <c r="GW38" s="116"/>
      <c r="GX38" s="116"/>
      <c r="GY38" s="116"/>
      <c r="GZ38" s="116"/>
      <c r="HA38" s="116"/>
      <c r="HB38" s="116"/>
      <c r="HC38" s="116"/>
      <c r="HD38" s="116"/>
      <c r="HE38" s="116"/>
      <c r="HF38" s="116"/>
      <c r="HG38" s="116"/>
      <c r="HH38" s="116"/>
      <c r="HI38" s="116"/>
      <c r="HJ38" s="116"/>
      <c r="HK38" s="116"/>
      <c r="HL38" s="116"/>
      <c r="HM38" s="116"/>
      <c r="HN38" s="116"/>
      <c r="HO38" s="116"/>
      <c r="HP38" s="116"/>
      <c r="HQ38" s="116"/>
      <c r="HR38" s="116"/>
      <c r="HS38" s="116"/>
      <c r="HT38" s="116"/>
      <c r="HU38" s="116"/>
      <c r="HV38" s="116"/>
      <c r="HW38" s="116"/>
      <c r="HX38" s="116"/>
      <c r="HY38" s="116"/>
      <c r="HZ38" s="116"/>
      <c r="IA38" s="116"/>
      <c r="IB38" s="116"/>
      <c r="IC38" s="116"/>
      <c r="ID38" s="116"/>
      <c r="IE38" s="116"/>
      <c r="IF38" s="116"/>
      <c r="IG38" s="116"/>
      <c r="IH38" s="116"/>
      <c r="II38" s="116"/>
      <c r="IJ38" s="116"/>
      <c r="IK38" s="116"/>
      <c r="IL38" s="116"/>
      <c r="IM38" s="116"/>
      <c r="IN38" s="116"/>
      <c r="IO38" s="116"/>
      <c r="IP38" s="116"/>
      <c r="IQ38" s="116"/>
      <c r="IR38" s="116"/>
      <c r="IS38" s="116"/>
      <c r="IT38" s="116"/>
      <c r="IU38" s="116"/>
      <c r="IV38" s="116"/>
      <c r="IW38" s="116"/>
    </row>
    <row r="39" spans="2:257" x14ac:dyDescent="0.3">
      <c r="B39" s="138" t="s">
        <v>256</v>
      </c>
      <c r="C39" s="25">
        <v>1.5</v>
      </c>
      <c r="D39" s="269">
        <f>+C39</f>
        <v>1.5</v>
      </c>
      <c r="E39" s="269">
        <f t="shared" ref="E39:H39" si="8">+D39</f>
        <v>1.5</v>
      </c>
      <c r="F39" s="269">
        <f t="shared" si="8"/>
        <v>1.5</v>
      </c>
      <c r="G39" s="269">
        <f t="shared" si="8"/>
        <v>1.5</v>
      </c>
      <c r="H39" s="269">
        <f t="shared" si="8"/>
        <v>1.5</v>
      </c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  <c r="DM39" s="116"/>
      <c r="DN39" s="116"/>
      <c r="DO39" s="116"/>
      <c r="DP39" s="116"/>
      <c r="DQ39" s="116"/>
      <c r="DR39" s="116"/>
      <c r="DS39" s="116"/>
      <c r="DT39" s="116"/>
      <c r="DU39" s="116"/>
      <c r="DV39" s="116"/>
      <c r="DW39" s="116"/>
      <c r="DX39" s="116"/>
      <c r="DY39" s="116"/>
      <c r="DZ39" s="116"/>
      <c r="EA39" s="116"/>
      <c r="EB39" s="116"/>
      <c r="EC39" s="116"/>
      <c r="ED39" s="116"/>
      <c r="EE39" s="116"/>
      <c r="EF39" s="116"/>
      <c r="EG39" s="116"/>
      <c r="EH39" s="116"/>
      <c r="EI39" s="116"/>
      <c r="EJ39" s="116"/>
      <c r="EK39" s="116"/>
      <c r="EL39" s="116"/>
      <c r="EM39" s="116"/>
      <c r="EN39" s="116"/>
      <c r="EO39" s="116"/>
      <c r="EP39" s="116"/>
      <c r="EQ39" s="116"/>
      <c r="ER39" s="116"/>
      <c r="ES39" s="116"/>
      <c r="ET39" s="116"/>
      <c r="EU39" s="116"/>
      <c r="EV39" s="116"/>
      <c r="EW39" s="116"/>
      <c r="EX39" s="116"/>
      <c r="EY39" s="116"/>
      <c r="EZ39" s="116"/>
      <c r="FA39" s="116"/>
      <c r="FB39" s="116"/>
      <c r="FC39" s="116"/>
      <c r="FD39" s="116"/>
      <c r="FE39" s="116"/>
      <c r="FF39" s="116"/>
      <c r="FG39" s="116"/>
      <c r="FH39" s="116"/>
      <c r="FI39" s="116"/>
      <c r="FJ39" s="116"/>
      <c r="FK39" s="116"/>
      <c r="FL39" s="116"/>
      <c r="FM39" s="116"/>
      <c r="FN39" s="116"/>
      <c r="FO39" s="116"/>
      <c r="FP39" s="116"/>
      <c r="FQ39" s="116"/>
      <c r="FR39" s="116"/>
      <c r="FS39" s="116"/>
      <c r="FT39" s="116"/>
      <c r="FU39" s="116"/>
      <c r="FV39" s="116"/>
      <c r="FW39" s="116"/>
      <c r="FX39" s="116"/>
      <c r="FY39" s="116"/>
      <c r="FZ39" s="116"/>
      <c r="GA39" s="116"/>
      <c r="GB39" s="116"/>
      <c r="GC39" s="116"/>
      <c r="GD39" s="116"/>
      <c r="GE39" s="116"/>
      <c r="GF39" s="116"/>
      <c r="GG39" s="116"/>
      <c r="GH39" s="116"/>
      <c r="GI39" s="116"/>
      <c r="GJ39" s="116"/>
      <c r="GK39" s="116"/>
      <c r="GL39" s="116"/>
      <c r="GM39" s="116"/>
      <c r="GN39" s="116"/>
      <c r="GO39" s="116"/>
      <c r="GP39" s="116"/>
      <c r="GQ39" s="116"/>
      <c r="GR39" s="116"/>
      <c r="GS39" s="116"/>
      <c r="GT39" s="116"/>
      <c r="GU39" s="116"/>
      <c r="GV39" s="116"/>
      <c r="GW39" s="116"/>
      <c r="GX39" s="116"/>
      <c r="GY39" s="116"/>
      <c r="GZ39" s="116"/>
      <c r="HA39" s="116"/>
      <c r="HB39" s="116"/>
      <c r="HC39" s="116"/>
      <c r="HD39" s="116"/>
      <c r="HE39" s="116"/>
      <c r="HF39" s="116"/>
      <c r="HG39" s="116"/>
      <c r="HH39" s="116"/>
      <c r="HI39" s="116"/>
      <c r="HJ39" s="116"/>
      <c r="HK39" s="116"/>
      <c r="HL39" s="116"/>
      <c r="HM39" s="116"/>
      <c r="HN39" s="116"/>
      <c r="HO39" s="116"/>
      <c r="HP39" s="116"/>
      <c r="HQ39" s="116"/>
      <c r="HR39" s="116"/>
      <c r="HS39" s="116"/>
      <c r="HT39" s="116"/>
      <c r="HU39" s="116"/>
      <c r="HV39" s="116"/>
      <c r="HW39" s="116"/>
      <c r="HX39" s="116"/>
      <c r="HY39" s="116"/>
      <c r="HZ39" s="116"/>
      <c r="IA39" s="116"/>
      <c r="IB39" s="116"/>
      <c r="IC39" s="116"/>
      <c r="ID39" s="116"/>
      <c r="IE39" s="116"/>
      <c r="IF39" s="116"/>
      <c r="IG39" s="116"/>
      <c r="IH39" s="116"/>
      <c r="II39" s="116"/>
      <c r="IJ39" s="116"/>
      <c r="IK39" s="116"/>
      <c r="IL39" s="116"/>
      <c r="IM39" s="116"/>
      <c r="IN39" s="116"/>
      <c r="IO39" s="116"/>
      <c r="IP39" s="116"/>
      <c r="IQ39" s="116"/>
      <c r="IR39" s="116"/>
      <c r="IS39" s="116"/>
      <c r="IT39" s="116"/>
      <c r="IU39" s="116"/>
      <c r="IV39" s="116"/>
      <c r="IW39" s="116"/>
    </row>
    <row r="40" spans="2:257" x14ac:dyDescent="0.3">
      <c r="B40" s="152" t="s">
        <v>238</v>
      </c>
      <c r="C40" s="257">
        <f>+(C22/360)*C39</f>
        <v>0</v>
      </c>
      <c r="D40" s="257">
        <f t="shared" ref="D40:H40" si="9">+(D22/360)*D39</f>
        <v>480082966.08999991</v>
      </c>
      <c r="E40" s="257">
        <f t="shared" si="9"/>
        <v>533215788.29978621</v>
      </c>
      <c r="F40" s="257">
        <f t="shared" si="9"/>
        <v>740734558.38256276</v>
      </c>
      <c r="G40" s="257">
        <f t="shared" si="9"/>
        <v>823574887.84261346</v>
      </c>
      <c r="H40" s="257">
        <f t="shared" si="9"/>
        <v>915368047.04807961</v>
      </c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116"/>
      <c r="DW40" s="116"/>
      <c r="DX40" s="116"/>
      <c r="DY40" s="116"/>
      <c r="DZ40" s="116"/>
      <c r="EA40" s="116"/>
      <c r="EB40" s="116"/>
      <c r="EC40" s="116"/>
      <c r="ED40" s="116"/>
      <c r="EE40" s="116"/>
      <c r="EF40" s="116"/>
      <c r="EG40" s="116"/>
      <c r="EH40" s="116"/>
      <c r="EI40" s="116"/>
      <c r="EJ40" s="116"/>
      <c r="EK40" s="116"/>
      <c r="EL40" s="116"/>
      <c r="EM40" s="116"/>
      <c r="EN40" s="116"/>
      <c r="EO40" s="116"/>
      <c r="EP40" s="116"/>
      <c r="EQ40" s="116"/>
      <c r="ER40" s="116"/>
      <c r="ES40" s="116"/>
      <c r="ET40" s="116"/>
      <c r="EU40" s="116"/>
      <c r="EV40" s="116"/>
      <c r="EW40" s="116"/>
      <c r="EX40" s="116"/>
      <c r="EY40" s="116"/>
      <c r="EZ40" s="116"/>
      <c r="FA40" s="116"/>
      <c r="FB40" s="116"/>
      <c r="FC40" s="116"/>
      <c r="FD40" s="116"/>
      <c r="FE40" s="116"/>
      <c r="FF40" s="116"/>
      <c r="FG40" s="116"/>
      <c r="FH40" s="116"/>
      <c r="FI40" s="116"/>
      <c r="FJ40" s="116"/>
      <c r="FK40" s="116"/>
      <c r="FL40" s="116"/>
      <c r="FM40" s="116"/>
      <c r="FN40" s="116"/>
      <c r="FO40" s="116"/>
      <c r="FP40" s="116"/>
      <c r="FQ40" s="116"/>
      <c r="FR40" s="116"/>
      <c r="FS40" s="116"/>
      <c r="FT40" s="116"/>
      <c r="FU40" s="116"/>
      <c r="FV40" s="116"/>
      <c r="FW40" s="116"/>
      <c r="FX40" s="116"/>
      <c r="FY40" s="116"/>
      <c r="FZ40" s="116"/>
      <c r="GA40" s="116"/>
      <c r="GB40" s="116"/>
      <c r="GC40" s="116"/>
      <c r="GD40" s="116"/>
      <c r="GE40" s="116"/>
      <c r="GF40" s="116"/>
      <c r="GG40" s="116"/>
      <c r="GH40" s="116"/>
      <c r="GI40" s="116"/>
      <c r="GJ40" s="116"/>
      <c r="GK40" s="116"/>
      <c r="GL40" s="116"/>
      <c r="GM40" s="116"/>
      <c r="GN40" s="116"/>
      <c r="GO40" s="116"/>
      <c r="GP40" s="116"/>
      <c r="GQ40" s="116"/>
      <c r="GR40" s="116"/>
      <c r="GS40" s="116"/>
      <c r="GT40" s="116"/>
      <c r="GU40" s="116"/>
      <c r="GV40" s="116"/>
      <c r="GW40" s="116"/>
      <c r="GX40" s="116"/>
      <c r="GY40" s="116"/>
      <c r="GZ40" s="116"/>
      <c r="HA40" s="116"/>
      <c r="HB40" s="116"/>
      <c r="HC40" s="116"/>
      <c r="HD40" s="116"/>
      <c r="HE40" s="116"/>
      <c r="HF40" s="116"/>
      <c r="HG40" s="116"/>
      <c r="HH40" s="116"/>
      <c r="HI40" s="116"/>
      <c r="HJ40" s="116"/>
      <c r="HK40" s="116"/>
      <c r="HL40" s="116"/>
      <c r="HM40" s="116"/>
      <c r="HN40" s="116"/>
      <c r="HO40" s="116"/>
      <c r="HP40" s="116"/>
      <c r="HQ40" s="116"/>
      <c r="HR40" s="116"/>
      <c r="HS40" s="116"/>
      <c r="HT40" s="116"/>
      <c r="HU40" s="116"/>
      <c r="HV40" s="116"/>
      <c r="HW40" s="116"/>
      <c r="HX40" s="116"/>
      <c r="HY40" s="116"/>
      <c r="HZ40" s="116"/>
      <c r="IA40" s="116"/>
      <c r="IB40" s="116"/>
      <c r="IC40" s="116"/>
      <c r="ID40" s="116"/>
      <c r="IE40" s="116"/>
      <c r="IF40" s="116"/>
      <c r="IG40" s="116"/>
      <c r="IH40" s="116"/>
      <c r="II40" s="116"/>
      <c r="IJ40" s="116"/>
      <c r="IK40" s="116"/>
      <c r="IL40" s="116"/>
      <c r="IM40" s="116"/>
      <c r="IN40" s="116"/>
      <c r="IO40" s="116"/>
      <c r="IP40" s="116"/>
      <c r="IQ40" s="116"/>
      <c r="IR40" s="116"/>
      <c r="IS40" s="116"/>
      <c r="IT40" s="116"/>
      <c r="IU40" s="116"/>
      <c r="IV40" s="116"/>
      <c r="IW40" s="116"/>
    </row>
    <row r="41" spans="2:257" x14ac:dyDescent="0.3">
      <c r="B41" s="138" t="s">
        <v>242</v>
      </c>
      <c r="C41" s="255">
        <v>7</v>
      </c>
      <c r="D41" s="255">
        <f>+C41</f>
        <v>7</v>
      </c>
      <c r="E41" s="255">
        <f t="shared" ref="E41:H41" si="10">+D41</f>
        <v>7</v>
      </c>
      <c r="F41" s="255">
        <f t="shared" si="10"/>
        <v>7</v>
      </c>
      <c r="G41" s="255">
        <f t="shared" si="10"/>
        <v>7</v>
      </c>
      <c r="H41" s="255">
        <f t="shared" si="10"/>
        <v>7</v>
      </c>
      <c r="I41" s="132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116"/>
      <c r="DW41" s="116"/>
      <c r="DX41" s="116"/>
      <c r="DY41" s="116"/>
      <c r="DZ41" s="116"/>
      <c r="EA41" s="116"/>
      <c r="EB41" s="116"/>
      <c r="EC41" s="116"/>
      <c r="ED41" s="116"/>
      <c r="EE41" s="116"/>
      <c r="EF41" s="116"/>
      <c r="EG41" s="116"/>
      <c r="EH41" s="116"/>
      <c r="EI41" s="116"/>
      <c r="EJ41" s="116"/>
      <c r="EK41" s="116"/>
      <c r="EL41" s="116"/>
      <c r="EM41" s="116"/>
      <c r="EN41" s="116"/>
      <c r="EO41" s="116"/>
      <c r="EP41" s="116"/>
      <c r="EQ41" s="116"/>
      <c r="ER41" s="116"/>
      <c r="ES41" s="116"/>
      <c r="ET41" s="116"/>
      <c r="EU41" s="116"/>
      <c r="EV41" s="116"/>
      <c r="EW41" s="116"/>
      <c r="EX41" s="116"/>
      <c r="EY41" s="116"/>
      <c r="EZ41" s="116"/>
      <c r="FA41" s="116"/>
      <c r="FB41" s="116"/>
      <c r="FC41" s="116"/>
      <c r="FD41" s="116"/>
      <c r="FE41" s="116"/>
      <c r="FF41" s="116"/>
      <c r="FG41" s="116"/>
      <c r="FH41" s="116"/>
      <c r="FI41" s="116"/>
      <c r="FJ41" s="116"/>
      <c r="FK41" s="116"/>
      <c r="FL41" s="116"/>
      <c r="FM41" s="116"/>
      <c r="FN41" s="116"/>
      <c r="FO41" s="116"/>
      <c r="FP41" s="116"/>
      <c r="FQ41" s="116"/>
      <c r="FR41" s="116"/>
      <c r="FS41" s="116"/>
      <c r="FT41" s="116"/>
      <c r="FU41" s="116"/>
      <c r="FV41" s="116"/>
      <c r="FW41" s="116"/>
      <c r="FX41" s="116"/>
      <c r="FY41" s="116"/>
      <c r="FZ41" s="116"/>
      <c r="GA41" s="116"/>
      <c r="GB41" s="116"/>
      <c r="GC41" s="116"/>
      <c r="GD41" s="116"/>
      <c r="GE41" s="116"/>
      <c r="GF41" s="116"/>
      <c r="GG41" s="116"/>
      <c r="GH41" s="116"/>
      <c r="GI41" s="116"/>
      <c r="GJ41" s="116"/>
      <c r="GK41" s="116"/>
      <c r="GL41" s="116"/>
      <c r="GM41" s="116"/>
      <c r="GN41" s="116"/>
      <c r="GO41" s="116"/>
      <c r="GP41" s="116"/>
      <c r="GQ41" s="116"/>
      <c r="GR41" s="116"/>
      <c r="GS41" s="116"/>
      <c r="GT41" s="116"/>
      <c r="GU41" s="116"/>
      <c r="GV41" s="116"/>
      <c r="GW41" s="116"/>
      <c r="GX41" s="116"/>
      <c r="GY41" s="116"/>
      <c r="GZ41" s="116"/>
      <c r="HA41" s="116"/>
      <c r="HB41" s="116"/>
      <c r="HC41" s="116"/>
      <c r="HD41" s="116"/>
      <c r="HE41" s="116"/>
      <c r="HF41" s="116"/>
      <c r="HG41" s="116"/>
      <c r="HH41" s="116"/>
      <c r="HI41" s="116"/>
      <c r="HJ41" s="116"/>
      <c r="HK41" s="116"/>
      <c r="HL41" s="116"/>
      <c r="HM41" s="116"/>
      <c r="HN41" s="116"/>
      <c r="HO41" s="116"/>
      <c r="HP41" s="116"/>
      <c r="HQ41" s="116"/>
      <c r="HR41" s="116"/>
      <c r="HS41" s="116"/>
      <c r="HT41" s="116"/>
      <c r="HU41" s="116"/>
      <c r="HV41" s="116"/>
      <c r="HW41" s="116"/>
      <c r="HX41" s="116"/>
      <c r="HY41" s="116"/>
      <c r="HZ41" s="116"/>
      <c r="IA41" s="116"/>
      <c r="IB41" s="116"/>
      <c r="IC41" s="116"/>
      <c r="ID41" s="116"/>
      <c r="IE41" s="116"/>
      <c r="IF41" s="116"/>
      <c r="IG41" s="116"/>
      <c r="IH41" s="116"/>
      <c r="II41" s="116"/>
      <c r="IJ41" s="116"/>
      <c r="IK41" s="116"/>
      <c r="IL41" s="116"/>
      <c r="IM41" s="116"/>
      <c r="IN41" s="116"/>
      <c r="IO41" s="116"/>
      <c r="IP41" s="116"/>
      <c r="IQ41" s="116"/>
      <c r="IR41" s="116"/>
      <c r="IS41" s="116"/>
      <c r="IT41" s="116"/>
      <c r="IU41" s="116"/>
      <c r="IV41" s="116"/>
      <c r="IW41" s="116"/>
    </row>
    <row r="42" spans="2:257" x14ac:dyDescent="0.3">
      <c r="B42" s="152" t="s">
        <v>239</v>
      </c>
      <c r="C42" s="223">
        <f>+(C55/360)*C41</f>
        <v>0</v>
      </c>
      <c r="D42" s="223">
        <f>+(D55/360)*D41</f>
        <v>2259160606.5648146</v>
      </c>
      <c r="E42" s="223">
        <f t="shared" ref="E42:H42" si="11">+(E55/360)*E41</f>
        <v>2509191512.3259201</v>
      </c>
      <c r="F42" s="223">
        <f t="shared" si="11"/>
        <v>2788581895.0807848</v>
      </c>
      <c r="G42" s="223">
        <f t="shared" si="11"/>
        <v>3100444039.0086365</v>
      </c>
      <c r="H42" s="223">
        <f t="shared" si="11"/>
        <v>3446010175.6305838</v>
      </c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16"/>
      <c r="EC42" s="116"/>
      <c r="ED42" s="116"/>
      <c r="EE42" s="116"/>
      <c r="EF42" s="116"/>
      <c r="EG42" s="116"/>
      <c r="EH42" s="116"/>
      <c r="EI42" s="116"/>
      <c r="EJ42" s="116"/>
      <c r="EK42" s="116"/>
      <c r="EL42" s="116"/>
      <c r="EM42" s="116"/>
      <c r="EN42" s="116"/>
      <c r="EO42" s="116"/>
      <c r="EP42" s="116"/>
      <c r="EQ42" s="116"/>
      <c r="ER42" s="116"/>
      <c r="ES42" s="116"/>
      <c r="ET42" s="116"/>
      <c r="EU42" s="116"/>
      <c r="EV42" s="116"/>
      <c r="EW42" s="116"/>
      <c r="EX42" s="116"/>
      <c r="EY42" s="116"/>
      <c r="EZ42" s="116"/>
      <c r="FA42" s="116"/>
      <c r="FB42" s="116"/>
      <c r="FC42" s="116"/>
      <c r="FD42" s="116"/>
      <c r="FE42" s="116"/>
      <c r="FF42" s="116"/>
      <c r="FG42" s="116"/>
      <c r="FH42" s="116"/>
      <c r="FI42" s="116"/>
      <c r="FJ42" s="116"/>
      <c r="FK42" s="116"/>
      <c r="FL42" s="116"/>
      <c r="FM42" s="116"/>
      <c r="FN42" s="116"/>
      <c r="FO42" s="116"/>
      <c r="FP42" s="116"/>
      <c r="FQ42" s="116"/>
      <c r="FR42" s="116"/>
      <c r="FS42" s="116"/>
      <c r="FT42" s="116"/>
      <c r="FU42" s="116"/>
      <c r="FV42" s="116"/>
      <c r="FW42" s="116"/>
      <c r="FX42" s="116"/>
      <c r="FY42" s="116"/>
      <c r="FZ42" s="116"/>
      <c r="GA42" s="116"/>
      <c r="GB42" s="116"/>
      <c r="GC42" s="116"/>
      <c r="GD42" s="116"/>
      <c r="GE42" s="116"/>
      <c r="GF42" s="116"/>
      <c r="GG42" s="116"/>
      <c r="GH42" s="116"/>
      <c r="GI42" s="116"/>
      <c r="GJ42" s="116"/>
      <c r="GK42" s="116"/>
      <c r="GL42" s="116"/>
      <c r="GM42" s="116"/>
      <c r="GN42" s="116"/>
      <c r="GO42" s="116"/>
      <c r="GP42" s="116"/>
      <c r="GQ42" s="116"/>
      <c r="GR42" s="116"/>
      <c r="GS42" s="116"/>
      <c r="GT42" s="116"/>
      <c r="GU42" s="116"/>
      <c r="GV42" s="116"/>
      <c r="GW42" s="116"/>
      <c r="GX42" s="116"/>
      <c r="GY42" s="116"/>
      <c r="GZ42" s="116"/>
      <c r="HA42" s="116"/>
      <c r="HB42" s="116"/>
      <c r="HC42" s="116"/>
      <c r="HD42" s="116"/>
      <c r="HE42" s="116"/>
      <c r="HF42" s="116"/>
      <c r="HG42" s="116"/>
      <c r="HH42" s="116"/>
      <c r="HI42" s="116"/>
      <c r="HJ42" s="116"/>
      <c r="HK42" s="116"/>
      <c r="HL42" s="116"/>
      <c r="HM42" s="116"/>
      <c r="HN42" s="116"/>
      <c r="HO42" s="116"/>
      <c r="HP42" s="116"/>
      <c r="HQ42" s="116"/>
      <c r="HR42" s="116"/>
      <c r="HS42" s="116"/>
      <c r="HT42" s="116"/>
      <c r="HU42" s="116"/>
      <c r="HV42" s="116"/>
      <c r="HW42" s="116"/>
      <c r="HX42" s="116"/>
      <c r="HY42" s="116"/>
      <c r="HZ42" s="116"/>
      <c r="IA42" s="116"/>
      <c r="IB42" s="116"/>
      <c r="IC42" s="116"/>
      <c r="ID42" s="116"/>
      <c r="IE42" s="116"/>
      <c r="IF42" s="116"/>
      <c r="IG42" s="116"/>
      <c r="IH42" s="116"/>
      <c r="II42" s="116"/>
      <c r="IJ42" s="116"/>
      <c r="IK42" s="116"/>
      <c r="IL42" s="116"/>
      <c r="IM42" s="116"/>
      <c r="IN42" s="116"/>
      <c r="IO42" s="116"/>
      <c r="IP42" s="116"/>
      <c r="IQ42" s="116"/>
      <c r="IR42" s="116"/>
      <c r="IS42" s="116"/>
      <c r="IT42" s="116"/>
      <c r="IU42" s="116"/>
      <c r="IV42" s="116"/>
      <c r="IW42" s="116"/>
    </row>
    <row r="43" spans="2:257" x14ac:dyDescent="0.3">
      <c r="B43" s="220" t="s">
        <v>140</v>
      </c>
      <c r="C43" s="221">
        <f>+C36+C38+C40-C42</f>
        <v>0</v>
      </c>
      <c r="D43" s="258">
        <f>+D36+D38+D40-D42</f>
        <v>9426013316.5295601</v>
      </c>
      <c r="E43" s="258">
        <f t="shared" ref="E43:H43" si="12">+E36+E38+E40-E42</f>
        <v>10394296618.965162</v>
      </c>
      <c r="F43" s="258">
        <f t="shared" si="12"/>
        <v>11614262699.003368</v>
      </c>
      <c r="G43" s="258">
        <f t="shared" si="12"/>
        <v>12822556784.27013</v>
      </c>
      <c r="H43" s="258">
        <f t="shared" si="12"/>
        <v>14155826286.421093</v>
      </c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  <c r="DM43" s="116"/>
      <c r="DN43" s="116"/>
      <c r="DO43" s="116"/>
      <c r="DP43" s="116"/>
      <c r="DQ43" s="116"/>
      <c r="DR43" s="116"/>
      <c r="DS43" s="116"/>
      <c r="DT43" s="116"/>
      <c r="DU43" s="116"/>
      <c r="DV43" s="116"/>
      <c r="DW43" s="116"/>
      <c r="DX43" s="116"/>
      <c r="DY43" s="116"/>
      <c r="DZ43" s="116"/>
      <c r="EA43" s="116"/>
      <c r="EB43" s="116"/>
      <c r="EC43" s="116"/>
      <c r="ED43" s="116"/>
      <c r="EE43" s="116"/>
      <c r="EF43" s="116"/>
      <c r="EG43" s="116"/>
      <c r="EH43" s="116"/>
      <c r="EI43" s="116"/>
      <c r="EJ43" s="116"/>
      <c r="EK43" s="116"/>
      <c r="EL43" s="116"/>
      <c r="EM43" s="116"/>
      <c r="EN43" s="116"/>
      <c r="EO43" s="116"/>
      <c r="EP43" s="116"/>
      <c r="EQ43" s="116"/>
      <c r="ER43" s="116"/>
      <c r="ES43" s="116"/>
      <c r="ET43" s="116"/>
      <c r="EU43" s="116"/>
      <c r="EV43" s="116"/>
      <c r="EW43" s="116"/>
      <c r="EX43" s="116"/>
      <c r="EY43" s="116"/>
      <c r="EZ43" s="116"/>
      <c r="FA43" s="116"/>
      <c r="FB43" s="116"/>
      <c r="FC43" s="116"/>
      <c r="FD43" s="116"/>
      <c r="FE43" s="116"/>
      <c r="FF43" s="116"/>
      <c r="FG43" s="116"/>
      <c r="FH43" s="116"/>
      <c r="FI43" s="116"/>
      <c r="FJ43" s="116"/>
      <c r="FK43" s="116"/>
      <c r="FL43" s="116"/>
      <c r="FM43" s="116"/>
      <c r="FN43" s="116"/>
      <c r="FO43" s="116"/>
      <c r="FP43" s="116"/>
      <c r="FQ43" s="116"/>
      <c r="FR43" s="116"/>
      <c r="FS43" s="116"/>
      <c r="FT43" s="116"/>
      <c r="FU43" s="116"/>
      <c r="FV43" s="116"/>
      <c r="FW43" s="116"/>
      <c r="FX43" s="116"/>
      <c r="FY43" s="116"/>
      <c r="FZ43" s="116"/>
      <c r="GA43" s="116"/>
      <c r="GB43" s="116"/>
      <c r="GC43" s="116"/>
      <c r="GD43" s="116"/>
      <c r="GE43" s="116"/>
      <c r="GF43" s="116"/>
      <c r="GG43" s="116"/>
      <c r="GH43" s="116"/>
      <c r="GI43" s="116"/>
      <c r="GJ43" s="116"/>
      <c r="GK43" s="116"/>
      <c r="GL43" s="116"/>
      <c r="GM43" s="116"/>
      <c r="GN43" s="116"/>
      <c r="GO43" s="116"/>
      <c r="GP43" s="116"/>
      <c r="GQ43" s="116"/>
      <c r="GR43" s="116"/>
      <c r="GS43" s="116"/>
      <c r="GT43" s="116"/>
      <c r="GU43" s="116"/>
      <c r="GV43" s="116"/>
      <c r="GW43" s="116"/>
      <c r="GX43" s="116"/>
      <c r="GY43" s="116"/>
      <c r="GZ43" s="116"/>
      <c r="HA43" s="116"/>
      <c r="HB43" s="116"/>
      <c r="HC43" s="116"/>
      <c r="HD43" s="116"/>
      <c r="HE43" s="116"/>
      <c r="HF43" s="116"/>
      <c r="HG43" s="116"/>
      <c r="HH43" s="116"/>
      <c r="HI43" s="116"/>
      <c r="HJ43" s="116"/>
      <c r="HK43" s="116"/>
      <c r="HL43" s="116"/>
      <c r="HM43" s="116"/>
      <c r="HN43" s="116"/>
      <c r="HO43" s="116"/>
      <c r="HP43" s="116"/>
      <c r="HQ43" s="116"/>
      <c r="HR43" s="116"/>
      <c r="HS43" s="116"/>
      <c r="HT43" s="116"/>
      <c r="HU43" s="116"/>
      <c r="HV43" s="116"/>
      <c r="HW43" s="116"/>
      <c r="HX43" s="116"/>
      <c r="HY43" s="116"/>
      <c r="HZ43" s="116"/>
      <c r="IA43" s="116"/>
      <c r="IB43" s="116"/>
      <c r="IC43" s="116"/>
      <c r="ID43" s="116"/>
      <c r="IE43" s="116"/>
      <c r="IF43" s="116"/>
      <c r="IG43" s="116"/>
      <c r="IH43" s="116"/>
      <c r="II43" s="116"/>
      <c r="IJ43" s="116"/>
      <c r="IK43" s="116"/>
      <c r="IL43" s="116"/>
      <c r="IM43" s="116"/>
      <c r="IN43" s="116"/>
      <c r="IO43" s="116"/>
      <c r="IP43" s="116"/>
      <c r="IQ43" s="116"/>
      <c r="IR43" s="116"/>
      <c r="IS43" s="116"/>
      <c r="IT43" s="116"/>
      <c r="IU43" s="116"/>
      <c r="IV43" s="116"/>
      <c r="IW43" s="116"/>
    </row>
    <row r="44" spans="2:257" x14ac:dyDescent="0.3">
      <c r="B44" s="185" t="s">
        <v>245</v>
      </c>
      <c r="C44" s="215"/>
      <c r="D44" s="259">
        <f>+D43-C43</f>
        <v>9426013316.5295601</v>
      </c>
      <c r="E44" s="259">
        <f>+E43-D43</f>
        <v>968283302.43560219</v>
      </c>
      <c r="F44" s="259">
        <f t="shared" ref="F44:H44" si="13">+F43-E43</f>
        <v>1219966080.0382061</v>
      </c>
      <c r="G44" s="259">
        <f t="shared" si="13"/>
        <v>1208294085.2667618</v>
      </c>
      <c r="H44" s="259">
        <f t="shared" si="13"/>
        <v>1333269502.1509628</v>
      </c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  <c r="DM44" s="116"/>
      <c r="DN44" s="116"/>
      <c r="DO44" s="116"/>
      <c r="DP44" s="116"/>
      <c r="DQ44" s="116"/>
      <c r="DR44" s="116"/>
      <c r="DS44" s="116"/>
      <c r="DT44" s="116"/>
      <c r="DU44" s="116"/>
      <c r="DV44" s="116"/>
      <c r="DW44" s="116"/>
      <c r="DX44" s="116"/>
      <c r="DY44" s="116"/>
      <c r="DZ44" s="116"/>
      <c r="EA44" s="116"/>
      <c r="EB44" s="116"/>
      <c r="EC44" s="116"/>
      <c r="ED44" s="116"/>
      <c r="EE44" s="116"/>
      <c r="EF44" s="116"/>
      <c r="EG44" s="116"/>
      <c r="EH44" s="116"/>
      <c r="EI44" s="116"/>
      <c r="EJ44" s="116"/>
      <c r="EK44" s="116"/>
      <c r="EL44" s="116"/>
      <c r="EM44" s="116"/>
      <c r="EN44" s="116"/>
      <c r="EO44" s="116"/>
      <c r="EP44" s="116"/>
      <c r="EQ44" s="116"/>
      <c r="ER44" s="116"/>
      <c r="ES44" s="116"/>
      <c r="ET44" s="116"/>
      <c r="EU44" s="116"/>
      <c r="EV44" s="116"/>
      <c r="EW44" s="116"/>
      <c r="EX44" s="116"/>
      <c r="EY44" s="116"/>
      <c r="EZ44" s="116"/>
      <c r="FA44" s="116"/>
      <c r="FB44" s="116"/>
      <c r="FC44" s="116"/>
      <c r="FD44" s="116"/>
      <c r="FE44" s="116"/>
      <c r="FF44" s="116"/>
      <c r="FG44" s="116"/>
      <c r="FH44" s="116"/>
      <c r="FI44" s="116"/>
      <c r="FJ44" s="116"/>
      <c r="FK44" s="116"/>
      <c r="FL44" s="116"/>
      <c r="FM44" s="116"/>
      <c r="FN44" s="116"/>
      <c r="FO44" s="116"/>
      <c r="FP44" s="116"/>
      <c r="FQ44" s="116"/>
      <c r="FR44" s="116"/>
      <c r="FS44" s="116"/>
      <c r="FT44" s="116"/>
      <c r="FU44" s="116"/>
      <c r="FV44" s="116"/>
      <c r="FW44" s="116"/>
      <c r="FX44" s="116"/>
      <c r="FY44" s="116"/>
      <c r="FZ44" s="116"/>
      <c r="GA44" s="116"/>
      <c r="GB44" s="116"/>
      <c r="GC44" s="116"/>
      <c r="GD44" s="116"/>
      <c r="GE44" s="116"/>
      <c r="GF44" s="116"/>
      <c r="GG44" s="116"/>
      <c r="GH44" s="116"/>
      <c r="GI44" s="116"/>
      <c r="GJ44" s="116"/>
      <c r="GK44" s="116"/>
      <c r="GL44" s="116"/>
      <c r="GM44" s="116"/>
      <c r="GN44" s="116"/>
      <c r="GO44" s="116"/>
      <c r="GP44" s="116"/>
      <c r="GQ44" s="116"/>
      <c r="GR44" s="116"/>
      <c r="GS44" s="116"/>
      <c r="GT44" s="116"/>
      <c r="GU44" s="116"/>
      <c r="GV44" s="116"/>
      <c r="GW44" s="116"/>
      <c r="GX44" s="116"/>
      <c r="GY44" s="116"/>
      <c r="GZ44" s="116"/>
      <c r="HA44" s="116"/>
      <c r="HB44" s="116"/>
      <c r="HC44" s="116"/>
      <c r="HD44" s="116"/>
      <c r="HE44" s="116"/>
      <c r="HF44" s="116"/>
      <c r="HG44" s="116"/>
      <c r="HH44" s="116"/>
      <c r="HI44" s="116"/>
      <c r="HJ44" s="116"/>
      <c r="HK44" s="116"/>
      <c r="HL44" s="116"/>
      <c r="HM44" s="116"/>
      <c r="HN44" s="116"/>
      <c r="HO44" s="116"/>
      <c r="HP44" s="116"/>
      <c r="HQ44" s="116"/>
      <c r="HR44" s="116"/>
      <c r="HS44" s="116"/>
      <c r="HT44" s="116"/>
      <c r="HU44" s="116"/>
      <c r="HV44" s="116"/>
      <c r="HW44" s="116"/>
      <c r="HX44" s="116"/>
      <c r="HY44" s="116"/>
      <c r="HZ44" s="116"/>
      <c r="IA44" s="116"/>
      <c r="IB44" s="116"/>
      <c r="IC44" s="116"/>
      <c r="ID44" s="116"/>
      <c r="IE44" s="116"/>
      <c r="IF44" s="116"/>
      <c r="IG44" s="116"/>
      <c r="IH44" s="116"/>
      <c r="II44" s="116"/>
      <c r="IJ44" s="116"/>
      <c r="IK44" s="116"/>
      <c r="IL44" s="116"/>
      <c r="IM44" s="116"/>
      <c r="IN44" s="116"/>
      <c r="IO44" s="116"/>
      <c r="IP44" s="116"/>
      <c r="IQ44" s="116"/>
      <c r="IR44" s="116"/>
      <c r="IS44" s="116"/>
      <c r="IT44" s="116"/>
      <c r="IU44" s="116"/>
      <c r="IV44" s="116"/>
      <c r="IW44" s="116"/>
    </row>
    <row r="45" spans="2:257" x14ac:dyDescent="0.3">
      <c r="B45" s="139"/>
      <c r="C45" s="136"/>
      <c r="D45" s="186"/>
      <c r="E45" s="132"/>
      <c r="F45" s="132"/>
      <c r="G45" s="132"/>
      <c r="H45" s="132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116"/>
      <c r="EJ45" s="116"/>
      <c r="EK45" s="116"/>
      <c r="EL45" s="116"/>
      <c r="EM45" s="116"/>
      <c r="EN45" s="116"/>
      <c r="EO45" s="116"/>
      <c r="EP45" s="116"/>
      <c r="EQ45" s="116"/>
      <c r="ER45" s="116"/>
      <c r="ES45" s="116"/>
      <c r="ET45" s="116"/>
      <c r="EU45" s="116"/>
      <c r="EV45" s="116"/>
      <c r="EW45" s="116"/>
      <c r="EX45" s="116"/>
      <c r="EY45" s="116"/>
      <c r="EZ45" s="116"/>
      <c r="FA45" s="116"/>
      <c r="FB45" s="116"/>
      <c r="FC45" s="116"/>
      <c r="FD45" s="116"/>
      <c r="FE45" s="116"/>
      <c r="FF45" s="116"/>
      <c r="FG45" s="116"/>
      <c r="FH45" s="116"/>
      <c r="FI45" s="116"/>
      <c r="FJ45" s="116"/>
      <c r="FK45" s="116"/>
      <c r="FL45" s="116"/>
      <c r="FM45" s="116"/>
      <c r="FN45" s="116"/>
      <c r="FO45" s="116"/>
      <c r="FP45" s="116"/>
      <c r="FQ45" s="116"/>
      <c r="FR45" s="116"/>
      <c r="FS45" s="116"/>
      <c r="FT45" s="116"/>
      <c r="FU45" s="116"/>
      <c r="FV45" s="116"/>
      <c r="FW45" s="116"/>
      <c r="FX45" s="116"/>
      <c r="FY45" s="116"/>
      <c r="FZ45" s="116"/>
      <c r="GA45" s="116"/>
      <c r="GB45" s="116"/>
      <c r="GC45" s="116"/>
      <c r="GD45" s="116"/>
      <c r="GE45" s="116"/>
      <c r="GF45" s="116"/>
      <c r="GG45" s="116"/>
      <c r="GH45" s="116"/>
      <c r="GI45" s="116"/>
      <c r="GJ45" s="116"/>
      <c r="GK45" s="116"/>
      <c r="GL45" s="116"/>
      <c r="GM45" s="116"/>
      <c r="GN45" s="116"/>
      <c r="GO45" s="116"/>
      <c r="GP45" s="116"/>
      <c r="GQ45" s="116"/>
      <c r="GR45" s="116"/>
      <c r="GS45" s="116"/>
      <c r="GT45" s="116"/>
      <c r="GU45" s="116"/>
      <c r="GV45" s="116"/>
      <c r="GW45" s="116"/>
      <c r="GX45" s="116"/>
      <c r="GY45" s="116"/>
      <c r="GZ45" s="116"/>
      <c r="HA45" s="116"/>
      <c r="HB45" s="116"/>
      <c r="HC45" s="116"/>
      <c r="HD45" s="116"/>
      <c r="HE45" s="116"/>
      <c r="HF45" s="116"/>
      <c r="HG45" s="116"/>
      <c r="HH45" s="116"/>
      <c r="HI45" s="116"/>
      <c r="HJ45" s="116"/>
      <c r="HK45" s="116"/>
      <c r="HL45" s="116"/>
      <c r="HM45" s="116"/>
      <c r="HN45" s="116"/>
      <c r="HO45" s="116"/>
      <c r="HP45" s="116"/>
      <c r="HQ45" s="116"/>
      <c r="HR45" s="116"/>
      <c r="HS45" s="116"/>
      <c r="HT45" s="116"/>
      <c r="HU45" s="116"/>
      <c r="HV45" s="116"/>
      <c r="HW45" s="116"/>
      <c r="HX45" s="116"/>
      <c r="HY45" s="116"/>
      <c r="HZ45" s="116"/>
      <c r="IA45" s="116"/>
      <c r="IB45" s="116"/>
      <c r="IC45" s="116"/>
      <c r="ID45" s="116"/>
      <c r="IE45" s="116"/>
      <c r="IF45" s="116"/>
      <c r="IG45" s="116"/>
      <c r="IH45" s="116"/>
      <c r="II45" s="116"/>
      <c r="IJ45" s="116"/>
      <c r="IK45" s="116"/>
      <c r="IL45" s="116"/>
      <c r="IM45" s="116"/>
      <c r="IN45" s="116"/>
      <c r="IO45" s="116"/>
      <c r="IP45" s="116"/>
      <c r="IQ45" s="116"/>
      <c r="IR45" s="116"/>
      <c r="IS45" s="116"/>
      <c r="IT45" s="116"/>
      <c r="IU45" s="116"/>
      <c r="IV45" s="116"/>
      <c r="IW45" s="116"/>
    </row>
    <row r="46" spans="2:257" x14ac:dyDescent="0.3">
      <c r="B46" s="371" t="s">
        <v>142</v>
      </c>
      <c r="C46" s="372"/>
      <c r="D46" s="219"/>
      <c r="E46" s="132"/>
      <c r="F46" s="132"/>
      <c r="G46" s="132"/>
      <c r="H46" s="132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16"/>
      <c r="EO46" s="116"/>
      <c r="EP46" s="116"/>
      <c r="EQ46" s="116"/>
      <c r="ER46" s="116"/>
      <c r="ES46" s="116"/>
      <c r="ET46" s="116"/>
      <c r="EU46" s="116"/>
      <c r="EV46" s="116"/>
      <c r="EW46" s="116"/>
      <c r="EX46" s="116"/>
      <c r="EY46" s="116"/>
      <c r="EZ46" s="116"/>
      <c r="FA46" s="116"/>
      <c r="FB46" s="116"/>
      <c r="FC46" s="116"/>
      <c r="FD46" s="116"/>
      <c r="FE46" s="116"/>
      <c r="FF46" s="116"/>
      <c r="FG46" s="116"/>
      <c r="FH46" s="116"/>
      <c r="FI46" s="116"/>
      <c r="FJ46" s="116"/>
      <c r="FK46" s="116"/>
      <c r="FL46" s="116"/>
      <c r="FM46" s="116"/>
      <c r="FN46" s="116"/>
      <c r="FO46" s="116"/>
      <c r="FP46" s="116"/>
      <c r="FQ46" s="116"/>
      <c r="FR46" s="116"/>
      <c r="FS46" s="116"/>
      <c r="FT46" s="116"/>
      <c r="FU46" s="116"/>
      <c r="FV46" s="116"/>
      <c r="FW46" s="116"/>
      <c r="FX46" s="116"/>
      <c r="FY46" s="116"/>
      <c r="FZ46" s="116"/>
      <c r="GA46" s="116"/>
      <c r="GB46" s="116"/>
      <c r="GC46" s="116"/>
      <c r="GD46" s="116"/>
      <c r="GE46" s="116"/>
      <c r="GF46" s="116"/>
      <c r="GG46" s="116"/>
      <c r="GH46" s="116"/>
      <c r="GI46" s="116"/>
      <c r="GJ46" s="116"/>
      <c r="GK46" s="116"/>
      <c r="GL46" s="116"/>
      <c r="GM46" s="116"/>
      <c r="GN46" s="116"/>
      <c r="GO46" s="116"/>
      <c r="GP46" s="116"/>
      <c r="GQ46" s="116"/>
      <c r="GR46" s="116"/>
      <c r="GS46" s="116"/>
      <c r="GT46" s="116"/>
      <c r="GU46" s="116"/>
      <c r="GV46" s="116"/>
      <c r="GW46" s="116"/>
      <c r="GX46" s="116"/>
      <c r="GY46" s="116"/>
      <c r="GZ46" s="116"/>
      <c r="HA46" s="116"/>
      <c r="HB46" s="116"/>
      <c r="HC46" s="116"/>
      <c r="HD46" s="116"/>
      <c r="HE46" s="116"/>
      <c r="HF46" s="116"/>
      <c r="HG46" s="116"/>
      <c r="HH46" s="116"/>
      <c r="HI46" s="116"/>
      <c r="HJ46" s="116"/>
      <c r="HK46" s="116"/>
      <c r="HL46" s="116"/>
      <c r="HM46" s="116"/>
      <c r="HN46" s="116"/>
      <c r="HO46" s="116"/>
      <c r="HP46" s="116"/>
      <c r="HQ46" s="116"/>
      <c r="HR46" s="116"/>
      <c r="HS46" s="116"/>
      <c r="HT46" s="116"/>
      <c r="HU46" s="116"/>
      <c r="HV46" s="116"/>
      <c r="HW46" s="116"/>
      <c r="HX46" s="116"/>
      <c r="HY46" s="116"/>
      <c r="HZ46" s="116"/>
      <c r="IA46" s="116"/>
      <c r="IB46" s="116"/>
      <c r="IC46" s="116"/>
      <c r="ID46" s="116"/>
      <c r="IE46" s="116"/>
      <c r="IF46" s="116"/>
      <c r="IG46" s="116"/>
      <c r="IH46" s="116"/>
      <c r="II46" s="116"/>
      <c r="IJ46" s="116"/>
      <c r="IK46" s="116"/>
      <c r="IL46" s="116"/>
      <c r="IM46" s="116"/>
      <c r="IN46" s="116"/>
      <c r="IO46" s="116"/>
      <c r="IP46" s="116"/>
      <c r="IQ46" s="116"/>
      <c r="IR46" s="116"/>
      <c r="IS46" s="116"/>
      <c r="IT46" s="116"/>
      <c r="IU46" s="116"/>
      <c r="IV46" s="116"/>
      <c r="IW46" s="116"/>
    </row>
    <row r="47" spans="2:257" x14ac:dyDescent="0.3">
      <c r="B47" s="377" t="s">
        <v>143</v>
      </c>
      <c r="C47" s="377"/>
      <c r="D47" s="132"/>
      <c r="E47" s="132"/>
      <c r="F47" s="132"/>
      <c r="G47" s="132"/>
      <c r="H47" s="132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  <c r="DM47" s="116"/>
      <c r="DN47" s="116"/>
      <c r="DO47" s="116"/>
      <c r="DP47" s="116"/>
      <c r="DQ47" s="116"/>
      <c r="DR47" s="116"/>
      <c r="DS47" s="116"/>
      <c r="DT47" s="116"/>
      <c r="DU47" s="116"/>
      <c r="DV47" s="116"/>
      <c r="DW47" s="116"/>
      <c r="DX47" s="116"/>
      <c r="DY47" s="116"/>
      <c r="DZ47" s="116"/>
      <c r="EA47" s="116"/>
      <c r="EB47" s="116"/>
      <c r="EC47" s="116"/>
      <c r="ED47" s="116"/>
      <c r="EE47" s="116"/>
      <c r="EF47" s="116"/>
      <c r="EG47" s="116"/>
      <c r="EH47" s="116"/>
      <c r="EI47" s="116"/>
      <c r="EJ47" s="116"/>
      <c r="EK47" s="116"/>
      <c r="EL47" s="116"/>
      <c r="EM47" s="116"/>
      <c r="EN47" s="116"/>
      <c r="EO47" s="116"/>
      <c r="EP47" s="116"/>
      <c r="EQ47" s="116"/>
      <c r="ER47" s="116"/>
      <c r="ES47" s="116"/>
      <c r="ET47" s="116"/>
      <c r="EU47" s="116"/>
      <c r="EV47" s="116"/>
      <c r="EW47" s="116"/>
      <c r="EX47" s="116"/>
      <c r="EY47" s="116"/>
      <c r="EZ47" s="116"/>
      <c r="FA47" s="116"/>
      <c r="FB47" s="116"/>
      <c r="FC47" s="116"/>
      <c r="FD47" s="116"/>
      <c r="FE47" s="116"/>
      <c r="FF47" s="116"/>
      <c r="FG47" s="116"/>
      <c r="FH47" s="116"/>
      <c r="FI47" s="116"/>
      <c r="FJ47" s="116"/>
      <c r="FK47" s="116"/>
      <c r="FL47" s="116"/>
      <c r="FM47" s="116"/>
      <c r="FN47" s="116"/>
      <c r="FO47" s="116"/>
      <c r="FP47" s="116"/>
      <c r="FQ47" s="116"/>
      <c r="FR47" s="116"/>
      <c r="FS47" s="116"/>
      <c r="FT47" s="116"/>
      <c r="FU47" s="116"/>
      <c r="FV47" s="116"/>
      <c r="FW47" s="116"/>
      <c r="FX47" s="116"/>
      <c r="FY47" s="116"/>
      <c r="FZ47" s="116"/>
      <c r="GA47" s="116"/>
      <c r="GB47" s="116"/>
      <c r="GC47" s="116"/>
      <c r="GD47" s="116"/>
      <c r="GE47" s="116"/>
      <c r="GF47" s="116"/>
      <c r="GG47" s="116"/>
      <c r="GH47" s="116"/>
      <c r="GI47" s="116"/>
      <c r="GJ47" s="116"/>
      <c r="GK47" s="116"/>
      <c r="GL47" s="116"/>
      <c r="GM47" s="116"/>
      <c r="GN47" s="116"/>
      <c r="GO47" s="116"/>
      <c r="GP47" s="116"/>
      <c r="GQ47" s="116"/>
      <c r="GR47" s="116"/>
      <c r="GS47" s="116"/>
      <c r="GT47" s="116"/>
      <c r="GU47" s="116"/>
      <c r="GV47" s="116"/>
      <c r="GW47" s="116"/>
      <c r="GX47" s="116"/>
      <c r="GY47" s="116"/>
      <c r="GZ47" s="116"/>
      <c r="HA47" s="116"/>
      <c r="HB47" s="116"/>
      <c r="HC47" s="116"/>
      <c r="HD47" s="116"/>
      <c r="HE47" s="116"/>
      <c r="HF47" s="116"/>
      <c r="HG47" s="116"/>
      <c r="HH47" s="116"/>
      <c r="HI47" s="116"/>
      <c r="HJ47" s="116"/>
      <c r="HK47" s="116"/>
      <c r="HL47" s="116"/>
      <c r="HM47" s="116"/>
      <c r="HN47" s="116"/>
      <c r="HO47" s="116"/>
      <c r="HP47" s="116"/>
      <c r="HQ47" s="116"/>
      <c r="HR47" s="116"/>
      <c r="HS47" s="116"/>
      <c r="HT47" s="116"/>
      <c r="HU47" s="116"/>
      <c r="HV47" s="116"/>
      <c r="HW47" s="116"/>
      <c r="HX47" s="116"/>
      <c r="HY47" s="116"/>
      <c r="HZ47" s="116"/>
      <c r="IA47" s="116"/>
      <c r="IB47" s="116"/>
      <c r="IC47" s="116"/>
      <c r="ID47" s="116"/>
      <c r="IE47" s="116"/>
      <c r="IF47" s="116"/>
      <c r="IG47" s="116"/>
      <c r="IH47" s="116"/>
      <c r="II47" s="116"/>
      <c r="IJ47" s="116"/>
      <c r="IK47" s="116"/>
      <c r="IL47" s="116"/>
      <c r="IM47" s="116"/>
      <c r="IN47" s="116"/>
      <c r="IO47" s="116"/>
      <c r="IP47" s="116"/>
      <c r="IQ47" s="116"/>
      <c r="IR47" s="116"/>
      <c r="IS47" s="116"/>
      <c r="IT47" s="116"/>
      <c r="IU47" s="116"/>
      <c r="IV47" s="116"/>
      <c r="IW47" s="116"/>
    </row>
    <row r="48" spans="2:257" x14ac:dyDescent="0.3">
      <c r="B48" s="138" t="s">
        <v>144</v>
      </c>
      <c r="C48" s="149" t="s">
        <v>234</v>
      </c>
      <c r="D48" s="205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  <c r="FE48" s="116"/>
      <c r="FF48" s="116"/>
      <c r="FG48" s="116"/>
      <c r="FH48" s="116"/>
      <c r="FI48" s="116"/>
      <c r="FJ48" s="116"/>
      <c r="FK48" s="116"/>
      <c r="FL48" s="116"/>
      <c r="FM48" s="116"/>
      <c r="FN48" s="116"/>
      <c r="FO48" s="116"/>
      <c r="FP48" s="116"/>
      <c r="FQ48" s="116"/>
      <c r="FR48" s="116"/>
      <c r="FS48" s="116"/>
      <c r="FT48" s="116"/>
      <c r="FU48" s="116"/>
      <c r="FV48" s="116"/>
      <c r="FW48" s="116"/>
      <c r="FX48" s="116"/>
      <c r="FY48" s="116"/>
      <c r="FZ48" s="116"/>
      <c r="GA48" s="116"/>
      <c r="GB48" s="116"/>
      <c r="GC48" s="116"/>
      <c r="GD48" s="116"/>
      <c r="GE48" s="116"/>
      <c r="GF48" s="116"/>
      <c r="GG48" s="116"/>
      <c r="GH48" s="116"/>
      <c r="GI48" s="116"/>
      <c r="GJ48" s="116"/>
      <c r="GK48" s="116"/>
      <c r="GL48" s="116"/>
      <c r="GM48" s="116"/>
      <c r="GN48" s="116"/>
      <c r="GO48" s="116"/>
      <c r="GP48" s="116"/>
      <c r="GQ48" s="116"/>
      <c r="GR48" s="116"/>
      <c r="GS48" s="116"/>
      <c r="GT48" s="116"/>
      <c r="GU48" s="116"/>
      <c r="GV48" s="116"/>
      <c r="GW48" s="116"/>
      <c r="GX48" s="116"/>
      <c r="GY48" s="116"/>
      <c r="GZ48" s="116"/>
      <c r="HA48" s="116"/>
      <c r="HB48" s="116"/>
      <c r="HC48" s="116"/>
      <c r="HD48" s="116"/>
      <c r="HE48" s="116"/>
      <c r="HF48" s="116"/>
      <c r="HG48" s="116"/>
      <c r="HH48" s="116"/>
      <c r="HI48" s="116"/>
      <c r="HJ48" s="116"/>
      <c r="HK48" s="116"/>
      <c r="HL48" s="116"/>
      <c r="HM48" s="116"/>
      <c r="HN48" s="116"/>
      <c r="HO48" s="116"/>
      <c r="HP48" s="116"/>
      <c r="HQ48" s="116"/>
      <c r="HR48" s="116"/>
      <c r="HS48" s="116"/>
      <c r="HT48" s="116"/>
      <c r="HU48" s="116"/>
      <c r="HV48" s="116"/>
      <c r="HW48" s="116"/>
      <c r="HX48" s="116"/>
      <c r="HY48" s="116"/>
      <c r="HZ48" s="116"/>
      <c r="IA48" s="116"/>
      <c r="IB48" s="116"/>
      <c r="IC48" s="116"/>
      <c r="ID48" s="116"/>
      <c r="IE48" s="116"/>
      <c r="IF48" s="116"/>
      <c r="IG48" s="116"/>
      <c r="IH48" s="116"/>
      <c r="II48" s="116"/>
      <c r="IJ48" s="116"/>
      <c r="IK48" s="116"/>
      <c r="IL48" s="116"/>
      <c r="IM48" s="116"/>
      <c r="IN48" s="116"/>
      <c r="IO48" s="116"/>
      <c r="IP48" s="116"/>
      <c r="IQ48" s="116"/>
      <c r="IR48" s="116"/>
      <c r="IS48" s="116"/>
      <c r="IT48" s="116"/>
      <c r="IU48" s="116"/>
      <c r="IV48" s="116"/>
      <c r="IW48" s="116"/>
    </row>
    <row r="49" spans="2:257" x14ac:dyDescent="0.3">
      <c r="B49" s="138" t="s">
        <v>145</v>
      </c>
      <c r="C49" s="149">
        <v>5</v>
      </c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116"/>
      <c r="GL49" s="116"/>
      <c r="GM49" s="116"/>
      <c r="GN49" s="116"/>
      <c r="GO49" s="116"/>
      <c r="GP49" s="116"/>
      <c r="GQ49" s="116"/>
      <c r="GR49" s="116"/>
      <c r="GS49" s="116"/>
      <c r="GT49" s="116"/>
      <c r="GU49" s="116"/>
      <c r="GV49" s="116"/>
      <c r="GW49" s="116"/>
      <c r="GX49" s="116"/>
      <c r="GY49" s="116"/>
      <c r="GZ49" s="116"/>
      <c r="HA49" s="116"/>
      <c r="HB49" s="116"/>
      <c r="HC49" s="116"/>
      <c r="HD49" s="116"/>
      <c r="HE49" s="116"/>
      <c r="HF49" s="116"/>
      <c r="HG49" s="116"/>
      <c r="HH49" s="116"/>
      <c r="HI49" s="116"/>
      <c r="HJ49" s="116"/>
      <c r="HK49" s="116"/>
      <c r="HL49" s="116"/>
      <c r="HM49" s="116"/>
      <c r="HN49" s="116"/>
      <c r="HO49" s="116"/>
      <c r="HP49" s="116"/>
      <c r="HQ49" s="116"/>
      <c r="HR49" s="116"/>
      <c r="HS49" s="116"/>
      <c r="HT49" s="116"/>
      <c r="HU49" s="116"/>
      <c r="HV49" s="116"/>
      <c r="HW49" s="116"/>
      <c r="HX49" s="116"/>
      <c r="HY49" s="116"/>
      <c r="HZ49" s="116"/>
      <c r="IA49" s="116"/>
      <c r="IB49" s="116"/>
      <c r="IC49" s="116"/>
      <c r="ID49" s="116"/>
      <c r="IE49" s="116"/>
      <c r="IF49" s="116"/>
      <c r="IG49" s="116"/>
      <c r="IH49" s="116"/>
      <c r="II49" s="116"/>
      <c r="IJ49" s="116"/>
      <c r="IK49" s="116"/>
      <c r="IL49" s="116"/>
      <c r="IM49" s="116"/>
      <c r="IN49" s="116"/>
      <c r="IO49" s="116"/>
      <c r="IP49" s="116"/>
      <c r="IQ49" s="116"/>
      <c r="IR49" s="116"/>
      <c r="IS49" s="116"/>
      <c r="IT49" s="116"/>
      <c r="IU49" s="116"/>
      <c r="IV49" s="116"/>
      <c r="IW49" s="116"/>
    </row>
    <row r="50" spans="2:257" x14ac:dyDescent="0.3">
      <c r="B50" s="115"/>
      <c r="C50" s="115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/>
      <c r="DW50" s="116"/>
      <c r="DX50" s="116"/>
      <c r="DY50" s="116"/>
      <c r="DZ50" s="116"/>
      <c r="EA50" s="116"/>
      <c r="EB50" s="116"/>
      <c r="EC50" s="116"/>
      <c r="ED50" s="116"/>
      <c r="EE50" s="116"/>
      <c r="EF50" s="116"/>
      <c r="EG50" s="116"/>
      <c r="EH50" s="116"/>
      <c r="EI50" s="116"/>
      <c r="EJ50" s="116"/>
      <c r="EK50" s="116"/>
      <c r="EL50" s="116"/>
      <c r="EM50" s="116"/>
      <c r="EN50" s="116"/>
      <c r="EO50" s="116"/>
      <c r="EP50" s="116"/>
      <c r="EQ50" s="116"/>
      <c r="ER50" s="116"/>
      <c r="ES50" s="116"/>
      <c r="ET50" s="116"/>
      <c r="EU50" s="116"/>
      <c r="EV50" s="116"/>
      <c r="EW50" s="116"/>
      <c r="EX50" s="116"/>
      <c r="EY50" s="116"/>
      <c r="EZ50" s="116"/>
      <c r="FA50" s="116"/>
      <c r="FB50" s="116"/>
      <c r="FC50" s="116"/>
      <c r="FD50" s="116"/>
      <c r="FE50" s="116"/>
      <c r="FF50" s="116"/>
      <c r="FG50" s="116"/>
      <c r="FH50" s="116"/>
      <c r="FI50" s="116"/>
      <c r="FJ50" s="116"/>
      <c r="FK50" s="116"/>
      <c r="FL50" s="116"/>
      <c r="FM50" s="116"/>
      <c r="FN50" s="116"/>
      <c r="FO50" s="116"/>
      <c r="FP50" s="116"/>
      <c r="FQ50" s="116"/>
      <c r="FR50" s="116"/>
      <c r="FS50" s="116"/>
      <c r="FT50" s="116"/>
      <c r="FU50" s="116"/>
      <c r="FV50" s="116"/>
      <c r="FW50" s="116"/>
      <c r="FX50" s="116"/>
      <c r="FY50" s="116"/>
      <c r="FZ50" s="116"/>
      <c r="GA50" s="116"/>
      <c r="GB50" s="116"/>
      <c r="GC50" s="116"/>
      <c r="GD50" s="116"/>
      <c r="GE50" s="116"/>
      <c r="GF50" s="116"/>
      <c r="GG50" s="116"/>
      <c r="GH50" s="116"/>
      <c r="GI50" s="116"/>
      <c r="GJ50" s="116"/>
      <c r="GK50" s="116"/>
      <c r="GL50" s="116"/>
      <c r="GM50" s="116"/>
      <c r="GN50" s="116"/>
      <c r="GO50" s="116"/>
      <c r="GP50" s="116"/>
      <c r="GQ50" s="116"/>
      <c r="GR50" s="116"/>
      <c r="GS50" s="116"/>
      <c r="GT50" s="116"/>
      <c r="GU50" s="116"/>
      <c r="GV50" s="116"/>
      <c r="GW50" s="116"/>
      <c r="GX50" s="116"/>
      <c r="GY50" s="116"/>
      <c r="GZ50" s="116"/>
      <c r="HA50" s="116"/>
      <c r="HB50" s="116"/>
      <c r="HC50" s="116"/>
      <c r="HD50" s="116"/>
      <c r="HE50" s="116"/>
      <c r="HF50" s="116"/>
      <c r="HG50" s="116"/>
      <c r="HH50" s="116"/>
      <c r="HI50" s="116"/>
      <c r="HJ50" s="116"/>
      <c r="HK50" s="116"/>
      <c r="HL50" s="116"/>
      <c r="HM50" s="116"/>
      <c r="HN50" s="116"/>
      <c r="HO50" s="116"/>
      <c r="HP50" s="116"/>
      <c r="HQ50" s="116"/>
      <c r="HR50" s="116"/>
      <c r="HS50" s="116"/>
      <c r="HT50" s="116"/>
      <c r="HU50" s="116"/>
      <c r="HV50" s="116"/>
      <c r="HW50" s="116"/>
      <c r="HX50" s="116"/>
      <c r="HY50" s="116"/>
      <c r="HZ50" s="116"/>
      <c r="IA50" s="116"/>
      <c r="IB50" s="116"/>
      <c r="IC50" s="116"/>
      <c r="ID50" s="116"/>
      <c r="IE50" s="116"/>
      <c r="IF50" s="116"/>
      <c r="IG50" s="116"/>
      <c r="IH50" s="116"/>
      <c r="II50" s="116"/>
      <c r="IJ50" s="116"/>
      <c r="IK50" s="116"/>
      <c r="IL50" s="116"/>
      <c r="IM50" s="116"/>
      <c r="IN50" s="116"/>
      <c r="IO50" s="116"/>
      <c r="IP50" s="116"/>
      <c r="IQ50" s="116"/>
      <c r="IR50" s="116"/>
      <c r="IS50" s="116"/>
      <c r="IT50" s="116"/>
      <c r="IU50" s="116"/>
      <c r="IV50" s="116"/>
      <c r="IW50" s="116"/>
    </row>
    <row r="51" spans="2:257" x14ac:dyDescent="0.3">
      <c r="B51" s="370" t="s">
        <v>146</v>
      </c>
      <c r="C51" s="370"/>
      <c r="D51" s="370"/>
      <c r="E51" s="370"/>
      <c r="F51" s="370"/>
      <c r="G51" s="370"/>
      <c r="H51" s="370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116"/>
      <c r="GL51" s="116"/>
      <c r="GM51" s="116"/>
      <c r="GN51" s="116"/>
      <c r="GO51" s="116"/>
      <c r="GP51" s="116"/>
      <c r="GQ51" s="116"/>
      <c r="GR51" s="116"/>
      <c r="GS51" s="116"/>
      <c r="GT51" s="116"/>
      <c r="GU51" s="116"/>
      <c r="GV51" s="116"/>
      <c r="GW51" s="116"/>
      <c r="GX51" s="116"/>
      <c r="GY51" s="116"/>
      <c r="GZ51" s="116"/>
      <c r="HA51" s="116"/>
      <c r="HB51" s="116"/>
      <c r="HC51" s="116"/>
      <c r="HD51" s="116"/>
      <c r="HE51" s="116"/>
      <c r="HF51" s="116"/>
      <c r="HG51" s="116"/>
      <c r="HH51" s="116"/>
      <c r="HI51" s="116"/>
      <c r="HJ51" s="116"/>
      <c r="HK51" s="116"/>
      <c r="HL51" s="116"/>
      <c r="HM51" s="116"/>
      <c r="HN51" s="116"/>
      <c r="HO51" s="116"/>
      <c r="HP51" s="116"/>
      <c r="HQ51" s="116"/>
      <c r="HR51" s="116"/>
      <c r="HS51" s="116"/>
      <c r="HT51" s="116"/>
      <c r="HU51" s="116"/>
      <c r="HV51" s="116"/>
      <c r="HW51" s="116"/>
      <c r="HX51" s="116"/>
      <c r="HY51" s="116"/>
      <c r="HZ51" s="116"/>
      <c r="IA51" s="116"/>
      <c r="IB51" s="116"/>
      <c r="IC51" s="116"/>
      <c r="ID51" s="116"/>
      <c r="IE51" s="116"/>
      <c r="IF51" s="116"/>
      <c r="IG51" s="116"/>
      <c r="IH51" s="116"/>
      <c r="II51" s="116"/>
      <c r="IJ51" s="116"/>
      <c r="IK51" s="116"/>
      <c r="IL51" s="116"/>
      <c r="IM51" s="116"/>
      <c r="IN51" s="116"/>
      <c r="IO51" s="116"/>
      <c r="IP51" s="116"/>
      <c r="IQ51" s="116"/>
      <c r="IR51" s="116"/>
      <c r="IS51" s="116"/>
      <c r="IT51" s="116"/>
      <c r="IU51" s="116"/>
      <c r="IV51" s="116"/>
      <c r="IW51" s="116"/>
    </row>
    <row r="52" spans="2:257" x14ac:dyDescent="0.3">
      <c r="B52" s="377" t="s">
        <v>147</v>
      </c>
      <c r="C52" s="377"/>
      <c r="D52" s="377"/>
      <c r="E52" s="377"/>
      <c r="F52" s="377"/>
      <c r="G52" s="377"/>
      <c r="H52" s="377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/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116"/>
      <c r="FL52" s="116"/>
      <c r="FM52" s="116"/>
      <c r="FN52" s="116"/>
      <c r="FO52" s="116"/>
      <c r="FP52" s="116"/>
      <c r="FQ52" s="116"/>
      <c r="FR52" s="116"/>
      <c r="FS52" s="116"/>
      <c r="FT52" s="116"/>
      <c r="FU52" s="116"/>
      <c r="FV52" s="116"/>
      <c r="FW52" s="116"/>
      <c r="FX52" s="116"/>
      <c r="FY52" s="116"/>
      <c r="FZ52" s="116"/>
      <c r="GA52" s="116"/>
      <c r="GB52" s="116"/>
      <c r="GC52" s="116"/>
      <c r="GD52" s="116"/>
      <c r="GE52" s="116"/>
      <c r="GF52" s="116"/>
      <c r="GG52" s="116"/>
      <c r="GH52" s="116"/>
      <c r="GI52" s="116"/>
      <c r="GJ52" s="116"/>
      <c r="GK52" s="116"/>
      <c r="GL52" s="116"/>
      <c r="GM52" s="116"/>
      <c r="GN52" s="116"/>
      <c r="GO52" s="116"/>
      <c r="GP52" s="116"/>
      <c r="GQ52" s="116"/>
      <c r="GR52" s="116"/>
      <c r="GS52" s="116"/>
      <c r="GT52" s="116"/>
      <c r="GU52" s="116"/>
      <c r="GV52" s="116"/>
      <c r="GW52" s="116"/>
      <c r="GX52" s="116"/>
      <c r="GY52" s="116"/>
      <c r="GZ52" s="116"/>
      <c r="HA52" s="116"/>
      <c r="HB52" s="116"/>
      <c r="HC52" s="116"/>
      <c r="HD52" s="116"/>
      <c r="HE52" s="116"/>
      <c r="HF52" s="116"/>
      <c r="HG52" s="116"/>
      <c r="HH52" s="116"/>
      <c r="HI52" s="116"/>
      <c r="HJ52" s="116"/>
      <c r="HK52" s="116"/>
      <c r="HL52" s="116"/>
      <c r="HM52" s="116"/>
      <c r="HN52" s="116"/>
      <c r="HO52" s="116"/>
      <c r="HP52" s="116"/>
      <c r="HQ52" s="116"/>
      <c r="HR52" s="116"/>
      <c r="HS52" s="116"/>
      <c r="HT52" s="116"/>
      <c r="HU52" s="116"/>
      <c r="HV52" s="116"/>
      <c r="HW52" s="116"/>
      <c r="HX52" s="116"/>
      <c r="HY52" s="116"/>
      <c r="HZ52" s="116"/>
      <c r="IA52" s="116"/>
      <c r="IB52" s="116"/>
      <c r="IC52" s="116"/>
      <c r="ID52" s="116"/>
      <c r="IE52" s="116"/>
      <c r="IF52" s="116"/>
      <c r="IG52" s="116"/>
      <c r="IH52" s="116"/>
      <c r="II52" s="116"/>
      <c r="IJ52" s="116"/>
      <c r="IK52" s="116"/>
      <c r="IL52" s="116"/>
      <c r="IM52" s="116"/>
      <c r="IN52" s="116"/>
      <c r="IO52" s="116"/>
      <c r="IP52" s="116"/>
      <c r="IQ52" s="116"/>
      <c r="IR52" s="116"/>
      <c r="IS52" s="116"/>
      <c r="IT52" s="116"/>
      <c r="IU52" s="116"/>
      <c r="IV52" s="116"/>
      <c r="IW52" s="116"/>
    </row>
    <row r="53" spans="2:257" x14ac:dyDescent="0.3">
      <c r="B53" s="164" t="s">
        <v>76</v>
      </c>
      <c r="C53" s="165">
        <v>0</v>
      </c>
      <c r="D53" s="165">
        <v>1</v>
      </c>
      <c r="E53" s="165">
        <v>2</v>
      </c>
      <c r="F53" s="165">
        <v>3</v>
      </c>
      <c r="G53" s="165">
        <v>4</v>
      </c>
      <c r="H53" s="165">
        <v>5</v>
      </c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28"/>
      <c r="CE53" s="128"/>
      <c r="CF53" s="128"/>
      <c r="CG53" s="128"/>
      <c r="CH53" s="128"/>
      <c r="CI53" s="128"/>
      <c r="CJ53" s="128"/>
      <c r="CK53" s="128"/>
      <c r="CL53" s="128"/>
      <c r="CM53" s="128"/>
      <c r="CN53" s="128"/>
      <c r="CO53" s="128"/>
      <c r="CP53" s="128"/>
      <c r="CQ53" s="128"/>
      <c r="CR53" s="128"/>
      <c r="CS53" s="128"/>
      <c r="CT53" s="128"/>
      <c r="CU53" s="128"/>
      <c r="CV53" s="128"/>
      <c r="CW53" s="128"/>
      <c r="CX53" s="128"/>
      <c r="CY53" s="128"/>
      <c r="CZ53" s="128"/>
      <c r="DA53" s="128"/>
      <c r="DB53" s="128"/>
      <c r="DC53" s="128"/>
      <c r="DD53" s="128"/>
      <c r="DE53" s="128"/>
      <c r="DF53" s="128"/>
      <c r="DG53" s="128"/>
      <c r="DH53" s="128"/>
      <c r="DI53" s="128"/>
      <c r="DJ53" s="128"/>
      <c r="DK53" s="128"/>
      <c r="DL53" s="128"/>
      <c r="DM53" s="128"/>
      <c r="DN53" s="128"/>
      <c r="DO53" s="128"/>
      <c r="DP53" s="128"/>
      <c r="DQ53" s="128"/>
      <c r="DR53" s="128"/>
      <c r="DS53" s="128"/>
      <c r="DT53" s="128"/>
      <c r="DU53" s="128"/>
      <c r="DV53" s="128"/>
      <c r="DW53" s="128"/>
      <c r="DX53" s="128"/>
      <c r="DY53" s="128"/>
      <c r="DZ53" s="128"/>
      <c r="EA53" s="128"/>
      <c r="EB53" s="128"/>
      <c r="EC53" s="128"/>
      <c r="ED53" s="128"/>
      <c r="EE53" s="128"/>
      <c r="EF53" s="128"/>
      <c r="EG53" s="128"/>
      <c r="EH53" s="128"/>
      <c r="EI53" s="128"/>
      <c r="EJ53" s="128"/>
      <c r="EK53" s="128"/>
      <c r="EL53" s="128"/>
      <c r="EM53" s="128"/>
      <c r="EN53" s="128"/>
      <c r="EO53" s="128"/>
      <c r="EP53" s="128"/>
      <c r="EQ53" s="128"/>
      <c r="ER53" s="128"/>
      <c r="ES53" s="128"/>
      <c r="ET53" s="128"/>
      <c r="EU53" s="128"/>
      <c r="EV53" s="128"/>
      <c r="EW53" s="128"/>
      <c r="EX53" s="128"/>
      <c r="EY53" s="128"/>
      <c r="EZ53" s="128"/>
      <c r="FA53" s="128"/>
      <c r="FB53" s="128"/>
      <c r="FC53" s="128"/>
      <c r="FD53" s="128"/>
      <c r="FE53" s="128"/>
      <c r="FF53" s="128"/>
      <c r="FG53" s="128"/>
      <c r="FH53" s="128"/>
      <c r="FI53" s="128"/>
      <c r="FJ53" s="128"/>
      <c r="FK53" s="128"/>
      <c r="FL53" s="128"/>
      <c r="FM53" s="128"/>
      <c r="FN53" s="128"/>
      <c r="FO53" s="128"/>
      <c r="FP53" s="128"/>
      <c r="FQ53" s="128"/>
      <c r="FR53" s="128"/>
      <c r="FS53" s="128"/>
      <c r="FT53" s="128"/>
      <c r="FU53" s="128"/>
      <c r="FV53" s="128"/>
      <c r="FW53" s="128"/>
      <c r="FX53" s="128"/>
      <c r="FY53" s="128"/>
      <c r="FZ53" s="128"/>
      <c r="GA53" s="128"/>
      <c r="GB53" s="128"/>
      <c r="GC53" s="128"/>
      <c r="GD53" s="128"/>
      <c r="GE53" s="128"/>
      <c r="GF53" s="128"/>
      <c r="GG53" s="128"/>
      <c r="GH53" s="128"/>
      <c r="GI53" s="128"/>
      <c r="GJ53" s="128"/>
      <c r="GK53" s="128"/>
      <c r="GL53" s="128"/>
      <c r="GM53" s="128"/>
      <c r="GN53" s="128"/>
      <c r="GO53" s="128"/>
      <c r="GP53" s="128"/>
      <c r="GQ53" s="128"/>
      <c r="GR53" s="128"/>
      <c r="GS53" s="128"/>
      <c r="GT53" s="128"/>
      <c r="GU53" s="128"/>
      <c r="GV53" s="128"/>
      <c r="GW53" s="128"/>
      <c r="GX53" s="128"/>
      <c r="GY53" s="128"/>
      <c r="GZ53" s="128"/>
      <c r="HA53" s="128"/>
      <c r="HB53" s="128"/>
      <c r="HC53" s="128"/>
      <c r="HD53" s="128"/>
      <c r="HE53" s="128"/>
      <c r="HF53" s="128"/>
      <c r="HG53" s="128"/>
      <c r="HH53" s="128"/>
      <c r="HI53" s="128"/>
      <c r="HJ53" s="128"/>
      <c r="HK53" s="128"/>
      <c r="HL53" s="128"/>
      <c r="HM53" s="128"/>
      <c r="HN53" s="128"/>
      <c r="HO53" s="128"/>
      <c r="HP53" s="128"/>
      <c r="HQ53" s="128"/>
      <c r="HR53" s="128"/>
      <c r="HS53" s="128"/>
      <c r="HT53" s="128"/>
      <c r="HU53" s="128"/>
      <c r="HV53" s="128"/>
      <c r="HW53" s="128"/>
      <c r="HX53" s="128"/>
      <c r="HY53" s="128"/>
      <c r="HZ53" s="128"/>
      <c r="IA53" s="128"/>
      <c r="IB53" s="128"/>
      <c r="IC53" s="128"/>
      <c r="ID53" s="128"/>
      <c r="IE53" s="128"/>
      <c r="IF53" s="128"/>
      <c r="IG53" s="128"/>
      <c r="IH53" s="128"/>
      <c r="II53" s="128"/>
      <c r="IJ53" s="128"/>
      <c r="IK53" s="128"/>
      <c r="IL53" s="128"/>
      <c r="IM53" s="128"/>
      <c r="IN53" s="128"/>
      <c r="IO53" s="128"/>
      <c r="IP53" s="128"/>
      <c r="IQ53" s="128"/>
      <c r="IR53" s="128"/>
      <c r="IS53" s="128"/>
      <c r="IT53" s="128"/>
      <c r="IU53" s="128"/>
      <c r="IV53" s="128"/>
      <c r="IW53" s="128"/>
    </row>
    <row r="54" spans="2:257" x14ac:dyDescent="0.3">
      <c r="B54" s="138" t="s">
        <v>148</v>
      </c>
      <c r="C54" s="260">
        <f>+'PROYECCIONES Y ESTIMACIONES'!R18</f>
        <v>267561.11111111112</v>
      </c>
      <c r="D54" s="166">
        <f>+C54*(1+C8)</f>
        <v>284072.30727777776</v>
      </c>
      <c r="E54" s="166">
        <f>+D54*(1+C9)</f>
        <v>300487.42555382411</v>
      </c>
      <c r="F54" s="166">
        <f>+E54*(1+C10)</f>
        <v>318043.55363551906</v>
      </c>
      <c r="G54" s="166">
        <f>+F54*(1+C11)</f>
        <v>336773.21802000317</v>
      </c>
      <c r="H54" s="166">
        <f>+G54*(1+C12)</f>
        <v>356484.47869673988</v>
      </c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  <c r="DM54" s="116"/>
      <c r="DN54" s="116"/>
      <c r="DO54" s="116"/>
      <c r="DP54" s="116"/>
      <c r="DQ54" s="116"/>
      <c r="DR54" s="116"/>
      <c r="DS54" s="116"/>
      <c r="DT54" s="116"/>
      <c r="DU54" s="116"/>
      <c r="DV54" s="116"/>
      <c r="DW54" s="116"/>
      <c r="DX54" s="116"/>
      <c r="DY54" s="116"/>
      <c r="DZ54" s="116"/>
      <c r="EA54" s="116"/>
      <c r="EB54" s="116"/>
      <c r="EC54" s="116"/>
      <c r="ED54" s="116"/>
      <c r="EE54" s="116"/>
      <c r="EF54" s="116"/>
      <c r="EG54" s="116"/>
      <c r="EH54" s="116"/>
      <c r="EI54" s="116"/>
      <c r="EJ54" s="116"/>
      <c r="EK54" s="116"/>
      <c r="EL54" s="116"/>
      <c r="EM54" s="116"/>
      <c r="EN54" s="116"/>
      <c r="EO54" s="116"/>
      <c r="EP54" s="116"/>
      <c r="EQ54" s="116"/>
      <c r="ER54" s="116"/>
      <c r="ES54" s="116"/>
      <c r="ET54" s="116"/>
      <c r="EU54" s="116"/>
      <c r="EV54" s="116"/>
      <c r="EW54" s="116"/>
      <c r="EX54" s="116"/>
      <c r="EY54" s="116"/>
      <c r="EZ54" s="116"/>
      <c r="FA54" s="116"/>
      <c r="FB54" s="116"/>
      <c r="FC54" s="116"/>
      <c r="FD54" s="116"/>
      <c r="FE54" s="116"/>
      <c r="FF54" s="116"/>
      <c r="FG54" s="116"/>
      <c r="FH54" s="116"/>
      <c r="FI54" s="116"/>
      <c r="FJ54" s="116"/>
      <c r="FK54" s="116"/>
      <c r="FL54" s="116"/>
      <c r="FM54" s="116"/>
      <c r="FN54" s="116"/>
      <c r="FO54" s="116"/>
      <c r="FP54" s="116"/>
      <c r="FQ54" s="116"/>
      <c r="FR54" s="116"/>
      <c r="FS54" s="116"/>
      <c r="FT54" s="116"/>
      <c r="FU54" s="116"/>
      <c r="FV54" s="116"/>
      <c r="FW54" s="116"/>
      <c r="FX54" s="116"/>
      <c r="FY54" s="116"/>
      <c r="FZ54" s="116"/>
      <c r="GA54" s="116"/>
      <c r="GB54" s="116"/>
      <c r="GC54" s="116"/>
      <c r="GD54" s="116"/>
      <c r="GE54" s="116"/>
      <c r="GF54" s="116"/>
      <c r="GG54" s="116"/>
      <c r="GH54" s="116"/>
      <c r="GI54" s="116"/>
      <c r="GJ54" s="116"/>
      <c r="GK54" s="116"/>
      <c r="GL54" s="116"/>
      <c r="GM54" s="116"/>
      <c r="GN54" s="116"/>
      <c r="GO54" s="116"/>
      <c r="GP54" s="116"/>
      <c r="GQ54" s="116"/>
      <c r="GR54" s="116"/>
      <c r="GS54" s="116"/>
      <c r="GT54" s="116"/>
      <c r="GU54" s="116"/>
      <c r="GV54" s="116"/>
      <c r="GW54" s="116"/>
      <c r="GX54" s="116"/>
      <c r="GY54" s="116"/>
      <c r="GZ54" s="116"/>
      <c r="HA54" s="116"/>
      <c r="HB54" s="116"/>
      <c r="HC54" s="116"/>
      <c r="HD54" s="116"/>
      <c r="HE54" s="116"/>
      <c r="HF54" s="116"/>
      <c r="HG54" s="116"/>
      <c r="HH54" s="116"/>
      <c r="HI54" s="116"/>
      <c r="HJ54" s="116"/>
      <c r="HK54" s="116"/>
      <c r="HL54" s="116"/>
      <c r="HM54" s="116"/>
      <c r="HN54" s="116"/>
      <c r="HO54" s="116"/>
      <c r="HP54" s="116"/>
      <c r="HQ54" s="116"/>
      <c r="HR54" s="116"/>
      <c r="HS54" s="116"/>
      <c r="HT54" s="116"/>
      <c r="HU54" s="116"/>
      <c r="HV54" s="116"/>
      <c r="HW54" s="116"/>
      <c r="HX54" s="116"/>
      <c r="HY54" s="116"/>
      <c r="HZ54" s="116"/>
      <c r="IA54" s="116"/>
      <c r="IB54" s="116"/>
      <c r="IC54" s="116"/>
      <c r="ID54" s="116"/>
      <c r="IE54" s="116"/>
      <c r="IF54" s="116"/>
      <c r="IG54" s="116"/>
      <c r="IH54" s="116"/>
      <c r="II54" s="116"/>
      <c r="IJ54" s="116"/>
      <c r="IK54" s="116"/>
      <c r="IL54" s="116"/>
      <c r="IM54" s="116"/>
      <c r="IN54" s="116"/>
      <c r="IO54" s="116"/>
      <c r="IP54" s="116"/>
      <c r="IQ54" s="116"/>
      <c r="IR54" s="116"/>
      <c r="IS54" s="116"/>
      <c r="IT54" s="116"/>
      <c r="IU54" s="116"/>
      <c r="IV54" s="116"/>
      <c r="IW54" s="116"/>
    </row>
    <row r="55" spans="2:257" x14ac:dyDescent="0.3">
      <c r="B55" s="138" t="s">
        <v>149</v>
      </c>
      <c r="C55" s="167">
        <v>0</v>
      </c>
      <c r="D55" s="167">
        <f>+'CALCULO COSTOS E INVERSIONES'!I49</f>
        <v>116185402623.33333</v>
      </c>
      <c r="E55" s="167">
        <f>+'CALCULO COSTOS E INVERSIONES'!L49</f>
        <v>129044134919.61874</v>
      </c>
      <c r="F55" s="167">
        <f>+'CALCULO COSTOS E INVERSIONES'!O49</f>
        <v>143412783175.58322</v>
      </c>
      <c r="G55" s="167">
        <f>+'CALCULO COSTOS E INVERSIONES'!R49</f>
        <v>159451407720.44415</v>
      </c>
      <c r="H55" s="167">
        <f>+'CALCULO COSTOS E INVERSIONES'!U49</f>
        <v>177223380461.00143</v>
      </c>
      <c r="I55" s="168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6"/>
      <c r="DN55" s="116"/>
      <c r="DO55" s="116"/>
      <c r="DP55" s="116"/>
      <c r="DQ55" s="116"/>
      <c r="DR55" s="116"/>
      <c r="DS55" s="116"/>
      <c r="DT55" s="116"/>
      <c r="DU55" s="116"/>
      <c r="DV55" s="116"/>
      <c r="DW55" s="116"/>
      <c r="DX55" s="116"/>
      <c r="DY55" s="116"/>
      <c r="DZ55" s="116"/>
      <c r="EA55" s="116"/>
      <c r="EB55" s="116"/>
      <c r="EC55" s="116"/>
      <c r="ED55" s="116"/>
      <c r="EE55" s="116"/>
      <c r="EF55" s="116"/>
      <c r="EG55" s="116"/>
      <c r="EH55" s="116"/>
      <c r="EI55" s="116"/>
      <c r="EJ55" s="116"/>
      <c r="EK55" s="116"/>
      <c r="EL55" s="116"/>
      <c r="EM55" s="116"/>
      <c r="EN55" s="116"/>
      <c r="EO55" s="116"/>
      <c r="EP55" s="116"/>
      <c r="EQ55" s="116"/>
      <c r="ER55" s="116"/>
      <c r="ES55" s="116"/>
      <c r="ET55" s="116"/>
      <c r="EU55" s="116"/>
      <c r="EV55" s="116"/>
      <c r="EW55" s="116"/>
      <c r="EX55" s="116"/>
      <c r="EY55" s="116"/>
      <c r="EZ55" s="116"/>
      <c r="FA55" s="116"/>
      <c r="FB55" s="116"/>
      <c r="FC55" s="116"/>
      <c r="FD55" s="116"/>
      <c r="FE55" s="116"/>
      <c r="FF55" s="116"/>
      <c r="FG55" s="116"/>
      <c r="FH55" s="116"/>
      <c r="FI55" s="116"/>
      <c r="FJ55" s="116"/>
      <c r="FK55" s="116"/>
      <c r="FL55" s="116"/>
      <c r="FM55" s="116"/>
      <c r="FN55" s="116"/>
      <c r="FO55" s="116"/>
      <c r="FP55" s="116"/>
      <c r="FQ55" s="116"/>
      <c r="FR55" s="1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  <c r="GG55" s="116"/>
      <c r="GH55" s="116"/>
      <c r="GI55" s="116"/>
      <c r="GJ55" s="116"/>
      <c r="GK55" s="116"/>
      <c r="GL55" s="116"/>
      <c r="GM55" s="116"/>
      <c r="GN55" s="116"/>
      <c r="GO55" s="116"/>
      <c r="GP55" s="116"/>
      <c r="GQ55" s="116"/>
      <c r="GR55" s="116"/>
      <c r="GS55" s="116"/>
      <c r="GT55" s="116"/>
      <c r="GU55" s="116"/>
      <c r="GV55" s="116"/>
      <c r="GW55" s="116"/>
      <c r="GX55" s="116"/>
      <c r="GY55" s="116"/>
      <c r="GZ55" s="116"/>
      <c r="HA55" s="116"/>
      <c r="HB55" s="116"/>
      <c r="HC55" s="116"/>
      <c r="HD55" s="116"/>
      <c r="HE55" s="116"/>
      <c r="HF55" s="116"/>
      <c r="HG55" s="116"/>
      <c r="HH55" s="116"/>
      <c r="HI55" s="116"/>
      <c r="HJ55" s="116"/>
      <c r="HK55" s="116"/>
      <c r="HL55" s="116"/>
      <c r="HM55" s="116"/>
      <c r="HN55" s="116"/>
      <c r="HO55" s="116"/>
      <c r="HP55" s="116"/>
      <c r="HQ55" s="116"/>
      <c r="HR55" s="116"/>
      <c r="HS55" s="116"/>
      <c r="HT55" s="116"/>
      <c r="HU55" s="116"/>
      <c r="HV55" s="116"/>
      <c r="HW55" s="116"/>
      <c r="HX55" s="116"/>
      <c r="HY55" s="116"/>
      <c r="HZ55" s="116"/>
      <c r="IA55" s="116"/>
      <c r="IB55" s="116"/>
      <c r="IC55" s="116"/>
      <c r="ID55" s="116"/>
      <c r="IE55" s="116"/>
      <c r="IF55" s="116"/>
      <c r="IG55" s="116"/>
      <c r="IH55" s="116"/>
      <c r="II55" s="116"/>
      <c r="IJ55" s="116"/>
      <c r="IK55" s="116"/>
      <c r="IL55" s="116"/>
      <c r="IM55" s="116"/>
      <c r="IN55" s="116"/>
      <c r="IO55" s="116"/>
      <c r="IP55" s="116"/>
      <c r="IQ55" s="116"/>
      <c r="IR55" s="116"/>
      <c r="IS55" s="116"/>
      <c r="IT55" s="116"/>
      <c r="IU55" s="116"/>
      <c r="IV55" s="116"/>
      <c r="IW55" s="116"/>
    </row>
    <row r="56" spans="2:257" x14ac:dyDescent="0.3">
      <c r="B56" s="138" t="s">
        <v>150</v>
      </c>
      <c r="C56" s="260">
        <v>0</v>
      </c>
      <c r="D56" s="167">
        <f>+'CALCULO COSTOS E INVERSIONES'!I66</f>
        <v>6091896286.9063864</v>
      </c>
      <c r="E56" s="167">
        <f>+'CALCULO COSTOS E INVERSIONES'!L66</f>
        <v>6466377732.0922728</v>
      </c>
      <c r="F56" s="167">
        <f>+'CALCULO COSTOS E INVERSIONES'!O66</f>
        <v>6844179084.2786293</v>
      </c>
      <c r="G56" s="167">
        <f>+'CALCULO COSTOS E INVERSIONES'!R66</f>
        <v>7247234501.5965681</v>
      </c>
      <c r="H56" s="167">
        <f>+'CALCULO COSTOS E INVERSIONES'!U66</f>
        <v>7671413506.3472528</v>
      </c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  <c r="DM56" s="116"/>
      <c r="DN56" s="116"/>
      <c r="DO56" s="116"/>
      <c r="DP56" s="116"/>
      <c r="DQ56" s="116"/>
      <c r="DR56" s="116"/>
      <c r="DS56" s="116"/>
      <c r="DT56" s="116"/>
      <c r="DU56" s="116"/>
      <c r="DV56" s="116"/>
      <c r="DW56" s="116"/>
      <c r="DX56" s="116"/>
      <c r="DY56" s="116"/>
      <c r="DZ56" s="116"/>
      <c r="EA56" s="116"/>
      <c r="EB56" s="116"/>
      <c r="EC56" s="116"/>
      <c r="ED56" s="116"/>
      <c r="EE56" s="116"/>
      <c r="EF56" s="116"/>
      <c r="EG56" s="116"/>
      <c r="EH56" s="116"/>
      <c r="EI56" s="116"/>
      <c r="EJ56" s="116"/>
      <c r="EK56" s="116"/>
      <c r="EL56" s="116"/>
      <c r="EM56" s="116"/>
      <c r="EN56" s="116"/>
      <c r="EO56" s="116"/>
      <c r="EP56" s="116"/>
      <c r="EQ56" s="116"/>
      <c r="ER56" s="116"/>
      <c r="ES56" s="116"/>
      <c r="ET56" s="116"/>
      <c r="EU56" s="116"/>
      <c r="EV56" s="116"/>
      <c r="EW56" s="116"/>
      <c r="EX56" s="116"/>
      <c r="EY56" s="116"/>
      <c r="EZ56" s="116"/>
      <c r="FA56" s="116"/>
      <c r="FB56" s="116"/>
      <c r="FC56" s="116"/>
      <c r="FD56" s="116"/>
      <c r="FE56" s="116"/>
      <c r="FF56" s="116"/>
      <c r="FG56" s="116"/>
      <c r="FH56" s="116"/>
      <c r="FI56" s="116"/>
      <c r="FJ56" s="116"/>
      <c r="FK56" s="116"/>
      <c r="FL56" s="116"/>
      <c r="FM56" s="116"/>
      <c r="FN56" s="116"/>
      <c r="FO56" s="116"/>
      <c r="FP56" s="116"/>
      <c r="FQ56" s="116"/>
      <c r="FR56" s="1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  <c r="GG56" s="116"/>
      <c r="GH56" s="116"/>
      <c r="GI56" s="116"/>
      <c r="GJ56" s="116"/>
      <c r="GK56" s="116"/>
      <c r="GL56" s="116"/>
      <c r="GM56" s="116"/>
      <c r="GN56" s="116"/>
      <c r="GO56" s="116"/>
      <c r="GP56" s="116"/>
      <c r="GQ56" s="116"/>
      <c r="GR56" s="116"/>
      <c r="GS56" s="116"/>
      <c r="GT56" s="116"/>
      <c r="GU56" s="116"/>
      <c r="GV56" s="116"/>
      <c r="GW56" s="116"/>
      <c r="GX56" s="116"/>
      <c r="GY56" s="116"/>
      <c r="GZ56" s="116"/>
      <c r="HA56" s="116"/>
      <c r="HB56" s="116"/>
      <c r="HC56" s="116"/>
      <c r="HD56" s="116"/>
      <c r="HE56" s="116"/>
      <c r="HF56" s="116"/>
      <c r="HG56" s="116"/>
      <c r="HH56" s="116"/>
      <c r="HI56" s="116"/>
      <c r="HJ56" s="116"/>
      <c r="HK56" s="116"/>
      <c r="HL56" s="116"/>
      <c r="HM56" s="116"/>
      <c r="HN56" s="116"/>
      <c r="HO56" s="116"/>
      <c r="HP56" s="116"/>
      <c r="HQ56" s="116"/>
      <c r="HR56" s="116"/>
      <c r="HS56" s="116"/>
      <c r="HT56" s="116"/>
      <c r="HU56" s="116"/>
      <c r="HV56" s="116"/>
      <c r="HW56" s="116"/>
      <c r="HX56" s="116"/>
      <c r="HY56" s="116"/>
      <c r="HZ56" s="116"/>
      <c r="IA56" s="116"/>
      <c r="IB56" s="116"/>
      <c r="IC56" s="116"/>
      <c r="ID56" s="116"/>
      <c r="IE56" s="116"/>
      <c r="IF56" s="116"/>
      <c r="IG56" s="116"/>
      <c r="IH56" s="116"/>
      <c r="II56" s="116"/>
      <c r="IJ56" s="116"/>
      <c r="IK56" s="116"/>
      <c r="IL56" s="116"/>
      <c r="IM56" s="116"/>
      <c r="IN56" s="116"/>
      <c r="IO56" s="116"/>
      <c r="IP56" s="116"/>
      <c r="IQ56" s="116"/>
      <c r="IR56" s="116"/>
      <c r="IS56" s="116"/>
      <c r="IT56" s="116"/>
      <c r="IU56" s="116"/>
      <c r="IV56" s="116"/>
      <c r="IW56" s="116"/>
    </row>
    <row r="57" spans="2:257" x14ac:dyDescent="0.3">
      <c r="B57" s="138" t="s">
        <v>151</v>
      </c>
      <c r="C57" s="260">
        <v>0</v>
      </c>
      <c r="D57" s="167">
        <f>+'GASTOS ADMINISTRATIVOS'!H13</f>
        <v>351290697.1056</v>
      </c>
      <c r="E57" s="167">
        <f>+'GASTOS ADMINISTRATIVOS'!J13</f>
        <v>665085762.44835985</v>
      </c>
      <c r="F57" s="167">
        <f>+'GASTOS ADMINISTRATIVOS'!L13</f>
        <v>737606713.98572898</v>
      </c>
      <c r="G57" s="167">
        <f>+'GASTOS ADMINISTRATIVOS'!N13</f>
        <v>819377794.29818702</v>
      </c>
      <c r="H57" s="167">
        <f>+'GASTOS ADMINISTRATIVOS'!P13</f>
        <v>909724028.65309358</v>
      </c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  <c r="DM57" s="116"/>
      <c r="DN57" s="116"/>
      <c r="DO57" s="116"/>
      <c r="DP57" s="116"/>
      <c r="DQ57" s="116"/>
      <c r="DR57" s="116"/>
      <c r="DS57" s="116"/>
      <c r="DT57" s="116"/>
      <c r="DU57" s="116"/>
      <c r="DV57" s="116"/>
      <c r="DW57" s="116"/>
      <c r="DX57" s="116"/>
      <c r="DY57" s="116"/>
      <c r="DZ57" s="116"/>
      <c r="EA57" s="116"/>
      <c r="EB57" s="116"/>
      <c r="EC57" s="116"/>
      <c r="ED57" s="116"/>
      <c r="EE57" s="116"/>
      <c r="EF57" s="116"/>
      <c r="EG57" s="116"/>
      <c r="EH57" s="116"/>
      <c r="EI57" s="116"/>
      <c r="EJ57" s="116"/>
      <c r="EK57" s="116"/>
      <c r="EL57" s="116"/>
      <c r="EM57" s="116"/>
      <c r="EN57" s="116"/>
      <c r="EO57" s="116"/>
      <c r="EP57" s="116"/>
      <c r="EQ57" s="116"/>
      <c r="ER57" s="116"/>
      <c r="ES57" s="116"/>
      <c r="ET57" s="116"/>
      <c r="EU57" s="116"/>
      <c r="EV57" s="116"/>
      <c r="EW57" s="116"/>
      <c r="EX57" s="116"/>
      <c r="EY57" s="116"/>
      <c r="EZ57" s="116"/>
      <c r="FA57" s="116"/>
      <c r="FB57" s="116"/>
      <c r="FC57" s="116"/>
      <c r="FD57" s="116"/>
      <c r="FE57" s="116"/>
      <c r="FF57" s="116"/>
      <c r="FG57" s="116"/>
      <c r="FH57" s="116"/>
      <c r="FI57" s="116"/>
      <c r="FJ57" s="116"/>
      <c r="FK57" s="116"/>
      <c r="FL57" s="116"/>
      <c r="FM57" s="116"/>
      <c r="FN57" s="116"/>
      <c r="FO57" s="116"/>
      <c r="FP57" s="116"/>
      <c r="FQ57" s="116"/>
      <c r="FR57" s="116"/>
      <c r="FS57" s="116"/>
      <c r="FT57" s="116"/>
      <c r="FU57" s="116"/>
      <c r="FV57" s="116"/>
      <c r="FW57" s="116"/>
      <c r="FX57" s="116"/>
      <c r="FY57" s="116"/>
      <c r="FZ57" s="116"/>
      <c r="GA57" s="116"/>
      <c r="GB57" s="116"/>
      <c r="GC57" s="116"/>
      <c r="GD57" s="116"/>
      <c r="GE57" s="116"/>
      <c r="GF57" s="116"/>
      <c r="GG57" s="116"/>
      <c r="GH57" s="116"/>
      <c r="GI57" s="116"/>
      <c r="GJ57" s="116"/>
      <c r="GK57" s="116"/>
      <c r="GL57" s="116"/>
      <c r="GM57" s="116"/>
      <c r="GN57" s="116"/>
      <c r="GO57" s="116"/>
      <c r="GP57" s="116"/>
      <c r="GQ57" s="116"/>
      <c r="GR57" s="116"/>
      <c r="GS57" s="116"/>
      <c r="GT57" s="116"/>
      <c r="GU57" s="116"/>
      <c r="GV57" s="116"/>
      <c r="GW57" s="116"/>
      <c r="GX57" s="116"/>
      <c r="GY57" s="116"/>
      <c r="GZ57" s="116"/>
      <c r="HA57" s="116"/>
      <c r="HB57" s="116"/>
      <c r="HC57" s="116"/>
      <c r="HD57" s="116"/>
      <c r="HE57" s="116"/>
      <c r="HF57" s="116"/>
      <c r="HG57" s="116"/>
      <c r="HH57" s="116"/>
      <c r="HI57" s="116"/>
      <c r="HJ57" s="116"/>
      <c r="HK57" s="116"/>
      <c r="HL57" s="116"/>
      <c r="HM57" s="116"/>
      <c r="HN57" s="116"/>
      <c r="HO57" s="116"/>
      <c r="HP57" s="116"/>
      <c r="HQ57" s="116"/>
      <c r="HR57" s="116"/>
      <c r="HS57" s="116"/>
      <c r="HT57" s="116"/>
      <c r="HU57" s="116"/>
      <c r="HV57" s="116"/>
      <c r="HW57" s="116"/>
      <c r="HX57" s="116"/>
      <c r="HY57" s="116"/>
      <c r="HZ57" s="116"/>
      <c r="IA57" s="116"/>
      <c r="IB57" s="116"/>
      <c r="IC57" s="116"/>
      <c r="ID57" s="116"/>
      <c r="IE57" s="116"/>
      <c r="IF57" s="116"/>
      <c r="IG57" s="116"/>
      <c r="IH57" s="116"/>
      <c r="II57" s="116"/>
      <c r="IJ57" s="116"/>
      <c r="IK57" s="116"/>
      <c r="IL57" s="116"/>
      <c r="IM57" s="116"/>
      <c r="IN57" s="116"/>
      <c r="IO57" s="116"/>
      <c r="IP57" s="116"/>
      <c r="IQ57" s="116"/>
      <c r="IR57" s="116"/>
      <c r="IS57" s="116"/>
      <c r="IT57" s="116"/>
      <c r="IU57" s="116"/>
      <c r="IV57" s="116"/>
      <c r="IW57" s="116"/>
    </row>
    <row r="58" spans="2:257" x14ac:dyDescent="0.3">
      <c r="B58" s="150" t="s">
        <v>152</v>
      </c>
      <c r="C58" s="261">
        <f>+G64</f>
        <v>5625000</v>
      </c>
      <c r="D58" s="135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  <c r="DM58" s="116"/>
      <c r="DN58" s="116"/>
      <c r="DO58" s="116"/>
      <c r="DP58" s="116"/>
      <c r="DQ58" s="116"/>
      <c r="DR58" s="116"/>
      <c r="DS58" s="116"/>
      <c r="DT58" s="116"/>
      <c r="DU58" s="116"/>
      <c r="DV58" s="116"/>
      <c r="DW58" s="116"/>
      <c r="DX58" s="116"/>
      <c r="DY58" s="116"/>
      <c r="DZ58" s="116"/>
      <c r="EA58" s="116"/>
      <c r="EB58" s="116"/>
      <c r="EC58" s="116"/>
      <c r="ED58" s="116"/>
      <c r="EE58" s="116"/>
      <c r="EF58" s="116"/>
      <c r="EG58" s="116"/>
      <c r="EH58" s="116"/>
      <c r="EI58" s="116"/>
      <c r="EJ58" s="116"/>
      <c r="EK58" s="116"/>
      <c r="EL58" s="116"/>
      <c r="EM58" s="116"/>
      <c r="EN58" s="116"/>
      <c r="EO58" s="116"/>
      <c r="EP58" s="116"/>
      <c r="EQ58" s="116"/>
      <c r="ER58" s="116"/>
      <c r="ES58" s="116"/>
      <c r="ET58" s="116"/>
      <c r="EU58" s="116"/>
      <c r="EV58" s="116"/>
      <c r="EW58" s="116"/>
      <c r="EX58" s="116"/>
      <c r="EY58" s="116"/>
      <c r="EZ58" s="116"/>
      <c r="FA58" s="116"/>
      <c r="FB58" s="116"/>
      <c r="FC58" s="116"/>
      <c r="FD58" s="116"/>
      <c r="FE58" s="116"/>
      <c r="FF58" s="116"/>
      <c r="FG58" s="116"/>
      <c r="FH58" s="116"/>
      <c r="FI58" s="116"/>
      <c r="FJ58" s="116"/>
      <c r="FK58" s="116"/>
      <c r="FL58" s="116"/>
      <c r="FM58" s="116"/>
      <c r="FN58" s="116"/>
      <c r="FO58" s="116"/>
      <c r="FP58" s="116"/>
      <c r="FQ58" s="116"/>
      <c r="FR58" s="116"/>
      <c r="FS58" s="116"/>
      <c r="FT58" s="116"/>
      <c r="FU58" s="116"/>
      <c r="FV58" s="116"/>
      <c r="FW58" s="116"/>
      <c r="FX58" s="116"/>
      <c r="FY58" s="116"/>
      <c r="FZ58" s="116"/>
      <c r="GA58" s="116"/>
      <c r="GB58" s="116"/>
      <c r="GC58" s="116"/>
      <c r="GD58" s="116"/>
      <c r="GE58" s="116"/>
      <c r="GF58" s="116"/>
      <c r="GG58" s="116"/>
      <c r="GH58" s="116"/>
      <c r="GI58" s="116"/>
      <c r="GJ58" s="116"/>
      <c r="GK58" s="116"/>
      <c r="GL58" s="116"/>
      <c r="GM58" s="116"/>
      <c r="GN58" s="116"/>
      <c r="GO58" s="116"/>
      <c r="GP58" s="116"/>
      <c r="GQ58" s="116"/>
      <c r="GR58" s="116"/>
      <c r="GS58" s="116"/>
      <c r="GT58" s="116"/>
      <c r="GU58" s="116"/>
      <c r="GV58" s="116"/>
      <c r="GW58" s="116"/>
      <c r="GX58" s="116"/>
      <c r="GY58" s="116"/>
      <c r="GZ58" s="116"/>
      <c r="HA58" s="116"/>
      <c r="HB58" s="116"/>
      <c r="HC58" s="116"/>
      <c r="HD58" s="116"/>
      <c r="HE58" s="116"/>
      <c r="HF58" s="116"/>
      <c r="HG58" s="116"/>
      <c r="HH58" s="116"/>
      <c r="HI58" s="116"/>
      <c r="HJ58" s="116"/>
      <c r="HK58" s="116"/>
      <c r="HL58" s="116"/>
      <c r="HM58" s="116"/>
      <c r="HN58" s="116"/>
      <c r="HO58" s="116"/>
      <c r="HP58" s="116"/>
      <c r="HQ58" s="116"/>
      <c r="HR58" s="116"/>
      <c r="HS58" s="116"/>
      <c r="HT58" s="116"/>
      <c r="HU58" s="116"/>
      <c r="HV58" s="116"/>
      <c r="HW58" s="116"/>
      <c r="HX58" s="116"/>
      <c r="HY58" s="116"/>
      <c r="HZ58" s="116"/>
      <c r="IA58" s="116"/>
      <c r="IB58" s="116"/>
      <c r="IC58" s="116"/>
      <c r="ID58" s="116"/>
      <c r="IE58" s="116"/>
      <c r="IF58" s="116"/>
      <c r="IG58" s="116"/>
      <c r="IH58" s="116"/>
      <c r="II58" s="116"/>
      <c r="IJ58" s="116"/>
      <c r="IK58" s="116"/>
      <c r="IL58" s="116"/>
      <c r="IM58" s="116"/>
      <c r="IN58" s="116"/>
      <c r="IO58" s="116"/>
      <c r="IP58" s="116"/>
      <c r="IQ58" s="116"/>
      <c r="IR58" s="116"/>
      <c r="IS58" s="116"/>
      <c r="IT58" s="116"/>
      <c r="IU58" s="116"/>
      <c r="IV58" s="116"/>
      <c r="IW58" s="116"/>
    </row>
    <row r="59" spans="2:257" x14ac:dyDescent="0.3">
      <c r="B59" s="185"/>
      <c r="C59" s="136"/>
      <c r="D59" s="13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  <c r="DM59" s="116"/>
      <c r="DN59" s="116"/>
      <c r="DO59" s="116"/>
      <c r="DP59" s="116"/>
      <c r="DQ59" s="116"/>
      <c r="DR59" s="116"/>
      <c r="DS59" s="116"/>
      <c r="DT59" s="116"/>
      <c r="DU59" s="116"/>
      <c r="DV59" s="116"/>
      <c r="DW59" s="116"/>
      <c r="DX59" s="116"/>
      <c r="DY59" s="116"/>
      <c r="DZ59" s="116"/>
      <c r="EA59" s="116"/>
      <c r="EB59" s="116"/>
      <c r="EC59" s="116"/>
      <c r="ED59" s="116"/>
      <c r="EE59" s="116"/>
      <c r="EF59" s="116"/>
      <c r="EG59" s="116"/>
      <c r="EH59" s="116"/>
      <c r="EI59" s="116"/>
      <c r="EJ59" s="116"/>
      <c r="EK59" s="116"/>
      <c r="EL59" s="116"/>
      <c r="EM59" s="116"/>
      <c r="EN59" s="116"/>
      <c r="EO59" s="116"/>
      <c r="EP59" s="116"/>
      <c r="EQ59" s="116"/>
      <c r="ER59" s="116"/>
      <c r="ES59" s="116"/>
      <c r="ET59" s="116"/>
      <c r="EU59" s="116"/>
      <c r="EV59" s="116"/>
      <c r="EW59" s="116"/>
      <c r="EX59" s="116"/>
      <c r="EY59" s="116"/>
      <c r="EZ59" s="116"/>
      <c r="FA59" s="116"/>
      <c r="FB59" s="116"/>
      <c r="FC59" s="116"/>
      <c r="FD59" s="116"/>
      <c r="FE59" s="116"/>
      <c r="FF59" s="116"/>
      <c r="FG59" s="116"/>
      <c r="FH59" s="116"/>
      <c r="FI59" s="116"/>
      <c r="FJ59" s="116"/>
      <c r="FK59" s="116"/>
      <c r="FL59" s="116"/>
      <c r="FM59" s="116"/>
      <c r="FN59" s="116"/>
      <c r="FO59" s="116"/>
      <c r="FP59" s="116"/>
      <c r="FQ59" s="116"/>
      <c r="FR59" s="116"/>
      <c r="FS59" s="116"/>
      <c r="FT59" s="116"/>
      <c r="FU59" s="116"/>
      <c r="FV59" s="116"/>
      <c r="FW59" s="116"/>
      <c r="FX59" s="116"/>
      <c r="FY59" s="116"/>
      <c r="FZ59" s="116"/>
      <c r="GA59" s="116"/>
      <c r="GB59" s="116"/>
      <c r="GC59" s="116"/>
      <c r="GD59" s="116"/>
      <c r="GE59" s="116"/>
      <c r="GF59" s="116"/>
      <c r="GG59" s="116"/>
      <c r="GH59" s="116"/>
      <c r="GI59" s="116"/>
      <c r="GJ59" s="116"/>
      <c r="GK59" s="116"/>
      <c r="GL59" s="116"/>
      <c r="GM59" s="116"/>
      <c r="GN59" s="116"/>
      <c r="GO59" s="116"/>
      <c r="GP59" s="116"/>
      <c r="GQ59" s="116"/>
      <c r="GR59" s="116"/>
      <c r="GS59" s="116"/>
      <c r="GT59" s="116"/>
      <c r="GU59" s="116"/>
      <c r="GV59" s="116"/>
      <c r="GW59" s="116"/>
      <c r="GX59" s="116"/>
      <c r="GY59" s="116"/>
      <c r="GZ59" s="116"/>
      <c r="HA59" s="116"/>
      <c r="HB59" s="116"/>
      <c r="HC59" s="116"/>
      <c r="HD59" s="116"/>
      <c r="HE59" s="116"/>
      <c r="HF59" s="116"/>
      <c r="HG59" s="116"/>
      <c r="HH59" s="116"/>
      <c r="HI59" s="116"/>
      <c r="HJ59" s="116"/>
      <c r="HK59" s="116"/>
      <c r="HL59" s="116"/>
      <c r="HM59" s="116"/>
      <c r="HN59" s="116"/>
      <c r="HO59" s="116"/>
      <c r="HP59" s="116"/>
      <c r="HQ59" s="116"/>
      <c r="HR59" s="116"/>
      <c r="HS59" s="116"/>
      <c r="HT59" s="116"/>
      <c r="HU59" s="116"/>
      <c r="HV59" s="116"/>
      <c r="HW59" s="116"/>
      <c r="HX59" s="116"/>
      <c r="HY59" s="116"/>
      <c r="HZ59" s="116"/>
      <c r="IA59" s="116"/>
      <c r="IB59" s="116"/>
      <c r="IC59" s="116"/>
      <c r="ID59" s="116"/>
      <c r="IE59" s="116"/>
      <c r="IF59" s="116"/>
      <c r="IG59" s="116"/>
      <c r="IH59" s="116"/>
      <c r="II59" s="116"/>
      <c r="IJ59" s="116"/>
      <c r="IK59" s="116"/>
      <c r="IL59" s="116"/>
      <c r="IM59" s="116"/>
      <c r="IN59" s="116"/>
      <c r="IO59" s="116"/>
      <c r="IP59" s="116"/>
      <c r="IQ59" s="116"/>
      <c r="IR59" s="116"/>
      <c r="IS59" s="116"/>
      <c r="IT59" s="116"/>
      <c r="IU59" s="116"/>
      <c r="IV59" s="116"/>
      <c r="IW59" s="116"/>
    </row>
    <row r="60" spans="2:257" x14ac:dyDescent="0.3">
      <c r="B60" s="374" t="s">
        <v>255</v>
      </c>
      <c r="C60" s="374"/>
      <c r="D60" s="374"/>
      <c r="E60" s="374"/>
      <c r="F60" s="374"/>
      <c r="G60" s="374"/>
      <c r="H60" s="374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  <c r="DM60" s="116"/>
      <c r="DN60" s="116"/>
      <c r="DO60" s="116"/>
      <c r="DP60" s="116"/>
      <c r="DQ60" s="116"/>
      <c r="DR60" s="116"/>
      <c r="DS60" s="116"/>
      <c r="DT60" s="116"/>
      <c r="DU60" s="116"/>
      <c r="DV60" s="116"/>
      <c r="DW60" s="116"/>
      <c r="DX60" s="116"/>
      <c r="DY60" s="116"/>
      <c r="DZ60" s="116"/>
      <c r="EA60" s="116"/>
      <c r="EB60" s="116"/>
      <c r="EC60" s="116"/>
      <c r="ED60" s="116"/>
      <c r="EE60" s="116"/>
      <c r="EF60" s="116"/>
      <c r="EG60" s="116"/>
      <c r="EH60" s="116"/>
      <c r="EI60" s="116"/>
      <c r="EJ60" s="116"/>
      <c r="EK60" s="116"/>
      <c r="EL60" s="116"/>
      <c r="EM60" s="116"/>
      <c r="EN60" s="116"/>
      <c r="EO60" s="116"/>
      <c r="EP60" s="116"/>
      <c r="EQ60" s="116"/>
      <c r="ER60" s="116"/>
      <c r="ES60" s="116"/>
      <c r="ET60" s="116"/>
      <c r="EU60" s="116"/>
      <c r="EV60" s="116"/>
      <c r="EW60" s="116"/>
      <c r="EX60" s="116"/>
      <c r="EY60" s="116"/>
      <c r="EZ60" s="116"/>
      <c r="FA60" s="116"/>
      <c r="FB60" s="116"/>
      <c r="FC60" s="116"/>
      <c r="FD60" s="116"/>
      <c r="FE60" s="116"/>
      <c r="FF60" s="116"/>
      <c r="FG60" s="116"/>
      <c r="FH60" s="116"/>
      <c r="FI60" s="116"/>
      <c r="FJ60" s="116"/>
      <c r="FK60" s="116"/>
      <c r="FL60" s="116"/>
      <c r="FM60" s="116"/>
      <c r="FN60" s="116"/>
      <c r="FO60" s="116"/>
      <c r="FP60" s="116"/>
      <c r="FQ60" s="116"/>
      <c r="FR60" s="116"/>
      <c r="FS60" s="116"/>
      <c r="FT60" s="116"/>
      <c r="FU60" s="116"/>
      <c r="FV60" s="116"/>
      <c r="FW60" s="116"/>
      <c r="FX60" s="116"/>
      <c r="FY60" s="116"/>
      <c r="FZ60" s="116"/>
      <c r="GA60" s="116"/>
      <c r="GB60" s="116"/>
      <c r="GC60" s="116"/>
      <c r="GD60" s="116"/>
      <c r="GE60" s="116"/>
      <c r="GF60" s="116"/>
      <c r="GG60" s="116"/>
      <c r="GH60" s="116"/>
      <c r="GI60" s="116"/>
      <c r="GJ60" s="116"/>
      <c r="GK60" s="116"/>
      <c r="GL60" s="116"/>
      <c r="GM60" s="116"/>
      <c r="GN60" s="116"/>
      <c r="GO60" s="116"/>
      <c r="GP60" s="116"/>
      <c r="GQ60" s="116"/>
      <c r="GR60" s="116"/>
      <c r="GS60" s="116"/>
      <c r="GT60" s="116"/>
      <c r="GU60" s="116"/>
      <c r="GV60" s="116"/>
      <c r="GW60" s="116"/>
      <c r="GX60" s="116"/>
      <c r="GY60" s="116"/>
      <c r="GZ60" s="116"/>
      <c r="HA60" s="116"/>
      <c r="HB60" s="116"/>
      <c r="HC60" s="116"/>
      <c r="HD60" s="116"/>
      <c r="HE60" s="116"/>
      <c r="HF60" s="116"/>
      <c r="HG60" s="116"/>
      <c r="HH60" s="116"/>
      <c r="HI60" s="116"/>
      <c r="HJ60" s="116"/>
      <c r="HK60" s="116"/>
      <c r="HL60" s="116"/>
      <c r="HM60" s="116"/>
      <c r="HN60" s="116"/>
      <c r="HO60" s="116"/>
      <c r="HP60" s="116"/>
      <c r="HQ60" s="116"/>
      <c r="HR60" s="116"/>
      <c r="HS60" s="116"/>
      <c r="HT60" s="116"/>
      <c r="HU60" s="116"/>
      <c r="HV60" s="116"/>
      <c r="HW60" s="116"/>
      <c r="HX60" s="116"/>
      <c r="HY60" s="116"/>
      <c r="HZ60" s="116"/>
      <c r="IA60" s="116"/>
      <c r="IB60" s="116"/>
      <c r="IC60" s="116"/>
      <c r="ID60" s="116"/>
      <c r="IE60" s="116"/>
      <c r="IF60" s="116"/>
      <c r="IG60" s="116"/>
      <c r="IH60" s="116"/>
      <c r="II60" s="116"/>
      <c r="IJ60" s="116"/>
      <c r="IK60" s="116"/>
      <c r="IL60" s="116"/>
      <c r="IM60" s="116"/>
      <c r="IN60" s="116"/>
      <c r="IO60" s="116"/>
      <c r="IP60" s="116"/>
      <c r="IQ60" s="116"/>
      <c r="IR60" s="116"/>
      <c r="IS60" s="116"/>
      <c r="IT60" s="116"/>
      <c r="IU60" s="116"/>
      <c r="IV60" s="116"/>
      <c r="IW60" s="116"/>
    </row>
    <row r="61" spans="2:257" s="216" customFormat="1" x14ac:dyDescent="0.3">
      <c r="B61" s="188"/>
      <c r="C61" s="34" t="s">
        <v>249</v>
      </c>
      <c r="D61" s="34" t="s">
        <v>250</v>
      </c>
      <c r="E61" s="34" t="s">
        <v>251</v>
      </c>
      <c r="F61" s="34" t="s">
        <v>252</v>
      </c>
      <c r="G61" s="34" t="s">
        <v>253</v>
      </c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U61" s="135"/>
      <c r="CV61" s="135"/>
      <c r="CW61" s="135"/>
      <c r="CX61" s="135"/>
      <c r="CY61" s="135"/>
      <c r="CZ61" s="135"/>
      <c r="DA61" s="135"/>
      <c r="DB61" s="135"/>
      <c r="DC61" s="135"/>
      <c r="DD61" s="135"/>
      <c r="DE61" s="135"/>
      <c r="DF61" s="135"/>
      <c r="DG61" s="135"/>
      <c r="DH61" s="135"/>
      <c r="DI61" s="135"/>
      <c r="DJ61" s="135"/>
      <c r="DK61" s="135"/>
      <c r="DL61" s="135"/>
      <c r="DM61" s="135"/>
      <c r="DN61" s="135"/>
      <c r="DO61" s="135"/>
      <c r="DP61" s="135"/>
      <c r="DQ61" s="135"/>
      <c r="DR61" s="135"/>
      <c r="DS61" s="135"/>
      <c r="DT61" s="135"/>
      <c r="DU61" s="135"/>
      <c r="DV61" s="135"/>
      <c r="DW61" s="135"/>
      <c r="DX61" s="135"/>
      <c r="DY61" s="135"/>
      <c r="DZ61" s="135"/>
      <c r="EA61" s="135"/>
      <c r="EB61" s="135"/>
      <c r="EC61" s="135"/>
      <c r="ED61" s="135"/>
      <c r="EE61" s="135"/>
      <c r="EF61" s="135"/>
      <c r="EG61" s="135"/>
      <c r="EH61" s="135"/>
      <c r="EI61" s="135"/>
      <c r="EJ61" s="135"/>
      <c r="EK61" s="135"/>
      <c r="EL61" s="135"/>
      <c r="EM61" s="135"/>
      <c r="EN61" s="135"/>
      <c r="EO61" s="135"/>
      <c r="EP61" s="135"/>
      <c r="EQ61" s="135"/>
      <c r="ER61" s="135"/>
      <c r="ES61" s="135"/>
      <c r="ET61" s="135"/>
      <c r="EU61" s="135"/>
      <c r="EV61" s="135"/>
      <c r="EW61" s="135"/>
      <c r="EX61" s="135"/>
      <c r="EY61" s="135"/>
      <c r="EZ61" s="135"/>
      <c r="FA61" s="135"/>
      <c r="FB61" s="135"/>
      <c r="FC61" s="135"/>
      <c r="FD61" s="135"/>
      <c r="FE61" s="135"/>
      <c r="FF61" s="135"/>
      <c r="FG61" s="135"/>
      <c r="FH61" s="135"/>
      <c r="FI61" s="135"/>
      <c r="FJ61" s="135"/>
      <c r="FK61" s="135"/>
      <c r="FL61" s="135"/>
      <c r="FM61" s="135"/>
      <c r="FN61" s="135"/>
      <c r="FO61" s="135"/>
      <c r="FP61" s="135"/>
      <c r="FQ61" s="135"/>
      <c r="FR61" s="135"/>
      <c r="FS61" s="135"/>
      <c r="FT61" s="135"/>
      <c r="FU61" s="135"/>
      <c r="FV61" s="135"/>
      <c r="FW61" s="135"/>
      <c r="FX61" s="135"/>
      <c r="FY61" s="135"/>
      <c r="FZ61" s="135"/>
      <c r="GA61" s="135"/>
      <c r="GB61" s="135"/>
      <c r="GC61" s="135"/>
      <c r="GD61" s="135"/>
      <c r="GE61" s="135"/>
      <c r="GF61" s="135"/>
      <c r="GG61" s="135"/>
      <c r="GH61" s="135"/>
      <c r="GI61" s="135"/>
      <c r="GJ61" s="135"/>
      <c r="GK61" s="135"/>
      <c r="GL61" s="135"/>
      <c r="GM61" s="135"/>
      <c r="GN61" s="135"/>
      <c r="GO61" s="135"/>
      <c r="GP61" s="135"/>
      <c r="GQ61" s="135"/>
      <c r="GR61" s="135"/>
      <c r="GS61" s="135"/>
      <c r="GT61" s="135"/>
      <c r="GU61" s="135"/>
      <c r="GV61" s="135"/>
      <c r="GW61" s="135"/>
      <c r="GX61" s="135"/>
      <c r="GY61" s="135"/>
      <c r="GZ61" s="135"/>
      <c r="HA61" s="135"/>
      <c r="HB61" s="135"/>
      <c r="HC61" s="135"/>
      <c r="HD61" s="135"/>
      <c r="HE61" s="135"/>
      <c r="HF61" s="135"/>
      <c r="HG61" s="135"/>
      <c r="HH61" s="135"/>
      <c r="HI61" s="135"/>
      <c r="HJ61" s="135"/>
      <c r="HK61" s="135"/>
      <c r="HL61" s="135"/>
      <c r="HM61" s="135"/>
      <c r="HN61" s="135"/>
      <c r="HO61" s="135"/>
      <c r="HP61" s="135"/>
      <c r="HQ61" s="135"/>
      <c r="HR61" s="135"/>
      <c r="HS61" s="135"/>
      <c r="HT61" s="135"/>
      <c r="HU61" s="135"/>
      <c r="HV61" s="135"/>
      <c r="HW61" s="135"/>
      <c r="HX61" s="135"/>
      <c r="HY61" s="135"/>
      <c r="HZ61" s="135"/>
      <c r="IA61" s="135"/>
      <c r="IB61" s="135"/>
      <c r="IC61" s="135"/>
      <c r="ID61" s="135"/>
      <c r="IE61" s="135"/>
      <c r="IF61" s="135"/>
      <c r="IG61" s="135"/>
      <c r="IH61" s="135"/>
      <c r="II61" s="135"/>
      <c r="IJ61" s="135"/>
      <c r="IK61" s="135"/>
      <c r="IL61" s="135"/>
      <c r="IM61" s="135"/>
      <c r="IN61" s="135"/>
      <c r="IO61" s="135"/>
      <c r="IP61" s="135"/>
      <c r="IQ61" s="135"/>
      <c r="IR61" s="135"/>
      <c r="IS61" s="135"/>
      <c r="IT61" s="135"/>
      <c r="IU61" s="135"/>
      <c r="IV61" s="135"/>
      <c r="IW61" s="135"/>
    </row>
    <row r="62" spans="2:257" x14ac:dyDescent="0.3">
      <c r="B62" s="138" t="s">
        <v>247</v>
      </c>
      <c r="C62" s="262">
        <f>+('CALCULO COSTOS E INVERSIONES'!G9+'CALCULO COSTOS E INVERSIONES'!G10+'CALCULO COSTOS E INVERSIONES'!G12+'CALCULO COSTOS E INVERSIONES'!G14+'CALCULO COSTOS E INVERSIONES'!G15+'CALCULO COSTOS E INVERSIONES'!G16+'CALCULO COSTOS E INVERSIONES'!G18+'CALCULO COSTOS E INVERSIONES'!G19+'CALCULO COSTOS E INVERSIONES'!G22+'CALCULO COSTOS E INVERSIONES'!G23+'CALCULO COSTOS E INVERSIONES'!G24)</f>
        <v>19455000</v>
      </c>
      <c r="D62" s="25">
        <v>5</v>
      </c>
      <c r="E62" s="262">
        <f>+C62/D62</f>
        <v>3891000</v>
      </c>
      <c r="F62" s="25">
        <v>5</v>
      </c>
      <c r="G62" s="262">
        <f>+C62-(E62*F62)</f>
        <v>0</v>
      </c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  <c r="DM62" s="116"/>
      <c r="DN62" s="116"/>
      <c r="DO62" s="116"/>
      <c r="DP62" s="116"/>
      <c r="DQ62" s="116"/>
      <c r="DR62" s="116"/>
      <c r="DS62" s="116"/>
      <c r="DT62" s="116"/>
      <c r="DU62" s="116"/>
      <c r="DV62" s="116"/>
      <c r="DW62" s="116"/>
      <c r="DX62" s="116"/>
      <c r="DY62" s="116"/>
      <c r="DZ62" s="116"/>
      <c r="EA62" s="116"/>
      <c r="EB62" s="116"/>
      <c r="EC62" s="116"/>
      <c r="ED62" s="116"/>
      <c r="EE62" s="116"/>
      <c r="EF62" s="116"/>
      <c r="EG62" s="116"/>
      <c r="EH62" s="116"/>
      <c r="EI62" s="116"/>
      <c r="EJ62" s="116"/>
      <c r="EK62" s="116"/>
      <c r="EL62" s="116"/>
      <c r="EM62" s="116"/>
      <c r="EN62" s="116"/>
      <c r="EO62" s="116"/>
      <c r="EP62" s="116"/>
      <c r="EQ62" s="116"/>
      <c r="ER62" s="116"/>
      <c r="ES62" s="116"/>
      <c r="ET62" s="116"/>
      <c r="EU62" s="116"/>
      <c r="EV62" s="116"/>
      <c r="EW62" s="116"/>
      <c r="EX62" s="116"/>
      <c r="EY62" s="116"/>
      <c r="EZ62" s="116"/>
      <c r="FA62" s="116"/>
      <c r="FB62" s="116"/>
      <c r="FC62" s="116"/>
      <c r="FD62" s="116"/>
      <c r="FE62" s="116"/>
      <c r="FF62" s="116"/>
      <c r="FG62" s="116"/>
      <c r="FH62" s="116"/>
      <c r="FI62" s="116"/>
      <c r="FJ62" s="116"/>
      <c r="FK62" s="116"/>
      <c r="FL62" s="116"/>
      <c r="FM62" s="116"/>
      <c r="FN62" s="116"/>
      <c r="FO62" s="116"/>
      <c r="FP62" s="116"/>
      <c r="FQ62" s="116"/>
      <c r="FR62" s="116"/>
      <c r="FS62" s="116"/>
      <c r="FT62" s="116"/>
      <c r="FU62" s="116"/>
      <c r="FV62" s="116"/>
      <c r="FW62" s="116"/>
      <c r="FX62" s="116"/>
      <c r="FY62" s="116"/>
      <c r="FZ62" s="116"/>
      <c r="GA62" s="116"/>
      <c r="GB62" s="116"/>
      <c r="GC62" s="116"/>
      <c r="GD62" s="116"/>
      <c r="GE62" s="116"/>
      <c r="GF62" s="116"/>
      <c r="GG62" s="116"/>
      <c r="GH62" s="116"/>
      <c r="GI62" s="116"/>
      <c r="GJ62" s="116"/>
      <c r="GK62" s="116"/>
      <c r="GL62" s="116"/>
      <c r="GM62" s="116"/>
      <c r="GN62" s="116"/>
      <c r="GO62" s="116"/>
      <c r="GP62" s="116"/>
      <c r="GQ62" s="116"/>
      <c r="GR62" s="116"/>
      <c r="GS62" s="116"/>
      <c r="GT62" s="116"/>
      <c r="GU62" s="116"/>
      <c r="GV62" s="116"/>
      <c r="GW62" s="116"/>
      <c r="GX62" s="116"/>
      <c r="GY62" s="116"/>
      <c r="GZ62" s="116"/>
      <c r="HA62" s="116"/>
      <c r="HB62" s="116"/>
      <c r="HC62" s="116"/>
      <c r="HD62" s="116"/>
      <c r="HE62" s="116"/>
      <c r="HF62" s="116"/>
      <c r="HG62" s="116"/>
      <c r="HH62" s="116"/>
      <c r="HI62" s="116"/>
      <c r="HJ62" s="116"/>
      <c r="HK62" s="116"/>
      <c r="HL62" s="116"/>
      <c r="HM62" s="116"/>
      <c r="HN62" s="116"/>
      <c r="HO62" s="116"/>
      <c r="HP62" s="116"/>
      <c r="HQ62" s="116"/>
      <c r="HR62" s="116"/>
      <c r="HS62" s="116"/>
      <c r="HT62" s="116"/>
      <c r="HU62" s="116"/>
      <c r="HV62" s="116"/>
      <c r="HW62" s="116"/>
      <c r="HX62" s="116"/>
      <c r="HY62" s="116"/>
      <c r="HZ62" s="116"/>
      <c r="IA62" s="116"/>
      <c r="IB62" s="116"/>
      <c r="IC62" s="116"/>
      <c r="ID62" s="116"/>
      <c r="IE62" s="116"/>
      <c r="IF62" s="116"/>
      <c r="IG62" s="116"/>
      <c r="IH62" s="116"/>
      <c r="II62" s="116"/>
      <c r="IJ62" s="116"/>
      <c r="IK62" s="116"/>
      <c r="IL62" s="116"/>
      <c r="IM62" s="116"/>
      <c r="IN62" s="116"/>
      <c r="IO62" s="116"/>
      <c r="IP62" s="116"/>
      <c r="IQ62" s="116"/>
      <c r="IR62" s="116"/>
      <c r="IS62" s="116"/>
      <c r="IT62" s="116"/>
      <c r="IU62" s="116"/>
      <c r="IV62" s="116"/>
      <c r="IW62" s="116"/>
    </row>
    <row r="63" spans="2:257" x14ac:dyDescent="0.3">
      <c r="B63" s="138" t="s">
        <v>248</v>
      </c>
      <c r="C63" s="262">
        <f>+('CALCULO COSTOS E INVERSIONES'!G11+'CALCULO COSTOS E INVERSIONES'!G13+'CALCULO COSTOS E INVERSIONES'!G17+'CALCULO COSTOS E INVERSIONES'!G20+'CALCULO COSTOS E INVERSIONES'!G21)</f>
        <v>11250000</v>
      </c>
      <c r="D63" s="25">
        <v>10</v>
      </c>
      <c r="E63" s="262">
        <f>+C63/D63</f>
        <v>1125000</v>
      </c>
      <c r="F63" s="25">
        <v>5</v>
      </c>
      <c r="G63" s="262">
        <f>+C63-(E63*F63)</f>
        <v>5625000</v>
      </c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  <c r="DM63" s="116"/>
      <c r="DN63" s="116"/>
      <c r="DO63" s="116"/>
      <c r="DP63" s="116"/>
      <c r="DQ63" s="116"/>
      <c r="DR63" s="116"/>
      <c r="DS63" s="116"/>
      <c r="DT63" s="116"/>
      <c r="DU63" s="116"/>
      <c r="DV63" s="116"/>
      <c r="DW63" s="116"/>
      <c r="DX63" s="116"/>
      <c r="DY63" s="116"/>
      <c r="DZ63" s="116"/>
      <c r="EA63" s="116"/>
      <c r="EB63" s="116"/>
      <c r="EC63" s="116"/>
      <c r="ED63" s="116"/>
      <c r="EE63" s="116"/>
      <c r="EF63" s="116"/>
      <c r="EG63" s="116"/>
      <c r="EH63" s="116"/>
      <c r="EI63" s="116"/>
      <c r="EJ63" s="116"/>
      <c r="EK63" s="116"/>
      <c r="EL63" s="116"/>
      <c r="EM63" s="116"/>
      <c r="EN63" s="116"/>
      <c r="EO63" s="116"/>
      <c r="EP63" s="116"/>
      <c r="EQ63" s="116"/>
      <c r="ER63" s="116"/>
      <c r="ES63" s="116"/>
      <c r="ET63" s="116"/>
      <c r="EU63" s="116"/>
      <c r="EV63" s="116"/>
      <c r="EW63" s="116"/>
      <c r="EX63" s="116"/>
      <c r="EY63" s="116"/>
      <c r="EZ63" s="116"/>
      <c r="FA63" s="116"/>
      <c r="FB63" s="116"/>
      <c r="FC63" s="116"/>
      <c r="FD63" s="116"/>
      <c r="FE63" s="116"/>
      <c r="FF63" s="116"/>
      <c r="FG63" s="116"/>
      <c r="FH63" s="116"/>
      <c r="FI63" s="116"/>
      <c r="FJ63" s="116"/>
      <c r="FK63" s="116"/>
      <c r="FL63" s="116"/>
      <c r="FM63" s="116"/>
      <c r="FN63" s="116"/>
      <c r="FO63" s="116"/>
      <c r="FP63" s="116"/>
      <c r="FQ63" s="116"/>
      <c r="FR63" s="116"/>
      <c r="FS63" s="116"/>
      <c r="FT63" s="116"/>
      <c r="FU63" s="116"/>
      <c r="FV63" s="116"/>
      <c r="FW63" s="116"/>
      <c r="FX63" s="116"/>
      <c r="FY63" s="116"/>
      <c r="FZ63" s="116"/>
      <c r="GA63" s="116"/>
      <c r="GB63" s="116"/>
      <c r="GC63" s="116"/>
      <c r="GD63" s="116"/>
      <c r="GE63" s="116"/>
      <c r="GF63" s="116"/>
      <c r="GG63" s="116"/>
      <c r="GH63" s="116"/>
      <c r="GI63" s="116"/>
      <c r="GJ63" s="116"/>
      <c r="GK63" s="116"/>
      <c r="GL63" s="116"/>
      <c r="GM63" s="116"/>
      <c r="GN63" s="116"/>
      <c r="GO63" s="116"/>
      <c r="GP63" s="116"/>
      <c r="GQ63" s="116"/>
      <c r="GR63" s="116"/>
      <c r="GS63" s="116"/>
      <c r="GT63" s="116"/>
      <c r="GU63" s="116"/>
      <c r="GV63" s="116"/>
      <c r="GW63" s="116"/>
      <c r="GX63" s="116"/>
      <c r="GY63" s="116"/>
      <c r="GZ63" s="116"/>
      <c r="HA63" s="116"/>
      <c r="HB63" s="116"/>
      <c r="HC63" s="116"/>
      <c r="HD63" s="116"/>
      <c r="HE63" s="116"/>
      <c r="HF63" s="116"/>
      <c r="HG63" s="116"/>
      <c r="HH63" s="116"/>
      <c r="HI63" s="116"/>
      <c r="HJ63" s="116"/>
      <c r="HK63" s="116"/>
      <c r="HL63" s="116"/>
      <c r="HM63" s="116"/>
      <c r="HN63" s="116"/>
      <c r="HO63" s="116"/>
      <c r="HP63" s="116"/>
      <c r="HQ63" s="116"/>
      <c r="HR63" s="116"/>
      <c r="HS63" s="116"/>
      <c r="HT63" s="116"/>
      <c r="HU63" s="116"/>
      <c r="HV63" s="116"/>
      <c r="HW63" s="116"/>
      <c r="HX63" s="116"/>
      <c r="HY63" s="116"/>
      <c r="HZ63" s="116"/>
      <c r="IA63" s="116"/>
      <c r="IB63" s="116"/>
      <c r="IC63" s="116"/>
      <c r="ID63" s="116"/>
      <c r="IE63" s="116"/>
      <c r="IF63" s="116"/>
      <c r="IG63" s="116"/>
      <c r="IH63" s="116"/>
      <c r="II63" s="116"/>
      <c r="IJ63" s="116"/>
      <c r="IK63" s="116"/>
      <c r="IL63" s="116"/>
      <c r="IM63" s="116"/>
      <c r="IN63" s="116"/>
      <c r="IO63" s="116"/>
      <c r="IP63" s="116"/>
      <c r="IQ63" s="116"/>
      <c r="IR63" s="116"/>
      <c r="IS63" s="116"/>
      <c r="IT63" s="116"/>
      <c r="IU63" s="116"/>
      <c r="IV63" s="116"/>
      <c r="IW63" s="116"/>
    </row>
    <row r="64" spans="2:257" x14ac:dyDescent="0.3">
      <c r="F64" s="225" t="s">
        <v>254</v>
      </c>
      <c r="G64" s="263">
        <f>+SUM(G63:G63)</f>
        <v>5625000</v>
      </c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  <c r="DM64" s="116"/>
      <c r="DN64" s="116"/>
      <c r="DO64" s="116"/>
      <c r="DP64" s="116"/>
      <c r="DQ64" s="116"/>
      <c r="DR64" s="116"/>
      <c r="DS64" s="116"/>
      <c r="DT64" s="116"/>
      <c r="DU64" s="116"/>
      <c r="DV64" s="116"/>
      <c r="DW64" s="116"/>
      <c r="DX64" s="116"/>
      <c r="DY64" s="116"/>
      <c r="DZ64" s="116"/>
      <c r="EA64" s="116"/>
      <c r="EB64" s="116"/>
      <c r="EC64" s="116"/>
      <c r="ED64" s="116"/>
      <c r="EE64" s="116"/>
      <c r="EF64" s="116"/>
      <c r="EG64" s="116"/>
      <c r="EH64" s="116"/>
      <c r="EI64" s="116"/>
      <c r="EJ64" s="116"/>
      <c r="EK64" s="116"/>
      <c r="EL64" s="116"/>
      <c r="EM64" s="116"/>
      <c r="EN64" s="116"/>
      <c r="EO64" s="116"/>
      <c r="EP64" s="116"/>
      <c r="EQ64" s="116"/>
      <c r="ER64" s="116"/>
      <c r="ES64" s="116"/>
      <c r="ET64" s="116"/>
      <c r="EU64" s="116"/>
      <c r="EV64" s="116"/>
      <c r="EW64" s="116"/>
      <c r="EX64" s="116"/>
      <c r="EY64" s="116"/>
      <c r="EZ64" s="116"/>
      <c r="FA64" s="116"/>
      <c r="FB64" s="116"/>
      <c r="FC64" s="116"/>
      <c r="FD64" s="116"/>
      <c r="FE64" s="116"/>
      <c r="FF64" s="116"/>
      <c r="FG64" s="116"/>
      <c r="FH64" s="116"/>
      <c r="FI64" s="116"/>
      <c r="FJ64" s="116"/>
      <c r="FK64" s="116"/>
      <c r="FL64" s="116"/>
      <c r="FM64" s="116"/>
      <c r="FN64" s="116"/>
      <c r="FO64" s="116"/>
      <c r="FP64" s="116"/>
      <c r="FQ64" s="116"/>
      <c r="FR64" s="116"/>
      <c r="FS64" s="116"/>
      <c r="FT64" s="116"/>
      <c r="FU64" s="116"/>
      <c r="FV64" s="116"/>
      <c r="FW64" s="116"/>
      <c r="FX64" s="116"/>
      <c r="FY64" s="116"/>
      <c r="FZ64" s="116"/>
      <c r="GA64" s="116"/>
      <c r="GB64" s="116"/>
      <c r="GC64" s="116"/>
      <c r="GD64" s="116"/>
      <c r="GE64" s="116"/>
      <c r="GF64" s="116"/>
      <c r="GG64" s="116"/>
      <c r="GH64" s="116"/>
      <c r="GI64" s="116"/>
      <c r="GJ64" s="116"/>
      <c r="GK64" s="116"/>
      <c r="GL64" s="116"/>
      <c r="GM64" s="116"/>
      <c r="GN64" s="116"/>
      <c r="GO64" s="116"/>
      <c r="GP64" s="116"/>
      <c r="GQ64" s="116"/>
      <c r="GR64" s="116"/>
      <c r="GS64" s="116"/>
      <c r="GT64" s="116"/>
      <c r="GU64" s="116"/>
      <c r="GV64" s="116"/>
      <c r="GW64" s="116"/>
      <c r="GX64" s="116"/>
      <c r="GY64" s="116"/>
      <c r="GZ64" s="116"/>
      <c r="HA64" s="116"/>
      <c r="HB64" s="116"/>
      <c r="HC64" s="116"/>
      <c r="HD64" s="116"/>
      <c r="HE64" s="116"/>
      <c r="HF64" s="116"/>
      <c r="HG64" s="116"/>
      <c r="HH64" s="116"/>
      <c r="HI64" s="116"/>
      <c r="HJ64" s="116"/>
      <c r="HK64" s="116"/>
      <c r="HL64" s="116"/>
      <c r="HM64" s="116"/>
      <c r="HN64" s="116"/>
      <c r="HO64" s="116"/>
      <c r="HP64" s="116"/>
      <c r="HQ64" s="116"/>
      <c r="HR64" s="116"/>
      <c r="HS64" s="116"/>
      <c r="HT64" s="116"/>
      <c r="HU64" s="116"/>
      <c r="HV64" s="116"/>
      <c r="HW64" s="116"/>
      <c r="HX64" s="116"/>
      <c r="HY64" s="116"/>
      <c r="HZ64" s="116"/>
      <c r="IA64" s="116"/>
      <c r="IB64" s="116"/>
      <c r="IC64" s="116"/>
      <c r="ID64" s="116"/>
      <c r="IE64" s="116"/>
      <c r="IF64" s="116"/>
      <c r="IG64" s="116"/>
      <c r="IH64" s="116"/>
      <c r="II64" s="116"/>
      <c r="IJ64" s="116"/>
      <c r="IK64" s="116"/>
      <c r="IL64" s="116"/>
      <c r="IM64" s="116"/>
      <c r="IN64" s="116"/>
      <c r="IO64" s="116"/>
      <c r="IP64" s="116"/>
      <c r="IQ64" s="116"/>
      <c r="IR64" s="116"/>
      <c r="IS64" s="116"/>
      <c r="IT64" s="116"/>
      <c r="IU64" s="116"/>
      <c r="IV64" s="116"/>
      <c r="IW64" s="116"/>
    </row>
    <row r="65" spans="2:257" x14ac:dyDescent="0.3">
      <c r="F65" s="38"/>
      <c r="G65" s="22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116"/>
      <c r="EJ65" s="116"/>
      <c r="EK65" s="116"/>
      <c r="EL65" s="116"/>
      <c r="EM65" s="116"/>
      <c r="EN65" s="116"/>
      <c r="EO65" s="116"/>
      <c r="EP65" s="116"/>
      <c r="EQ65" s="116"/>
      <c r="ER65" s="116"/>
      <c r="ES65" s="116"/>
      <c r="ET65" s="116"/>
      <c r="EU65" s="116"/>
      <c r="EV65" s="116"/>
      <c r="EW65" s="116"/>
      <c r="EX65" s="116"/>
      <c r="EY65" s="116"/>
      <c r="EZ65" s="116"/>
      <c r="FA65" s="116"/>
      <c r="FB65" s="116"/>
      <c r="FC65" s="116"/>
      <c r="FD65" s="116"/>
      <c r="FE65" s="116"/>
      <c r="FF65" s="116"/>
      <c r="FG65" s="116"/>
      <c r="FH65" s="116"/>
      <c r="FI65" s="116"/>
      <c r="FJ65" s="116"/>
      <c r="FK65" s="116"/>
      <c r="FL65" s="116"/>
      <c r="FM65" s="116"/>
      <c r="FN65" s="116"/>
      <c r="FO65" s="116"/>
      <c r="FP65" s="116"/>
      <c r="FQ65" s="116"/>
      <c r="FR65" s="116"/>
      <c r="FS65" s="116"/>
      <c r="FT65" s="116"/>
      <c r="FU65" s="116"/>
      <c r="FV65" s="116"/>
      <c r="FW65" s="116"/>
      <c r="FX65" s="116"/>
      <c r="FY65" s="116"/>
      <c r="FZ65" s="116"/>
      <c r="GA65" s="116"/>
      <c r="GB65" s="116"/>
      <c r="GC65" s="116"/>
      <c r="GD65" s="116"/>
      <c r="GE65" s="116"/>
      <c r="GF65" s="116"/>
      <c r="GG65" s="116"/>
      <c r="GH65" s="116"/>
      <c r="GI65" s="116"/>
      <c r="GJ65" s="116"/>
      <c r="GK65" s="116"/>
      <c r="GL65" s="116"/>
      <c r="GM65" s="116"/>
      <c r="GN65" s="116"/>
      <c r="GO65" s="116"/>
      <c r="GP65" s="116"/>
      <c r="GQ65" s="116"/>
      <c r="GR65" s="116"/>
      <c r="GS65" s="116"/>
      <c r="GT65" s="116"/>
      <c r="GU65" s="116"/>
      <c r="GV65" s="116"/>
      <c r="GW65" s="116"/>
      <c r="GX65" s="116"/>
      <c r="GY65" s="116"/>
      <c r="GZ65" s="116"/>
      <c r="HA65" s="116"/>
      <c r="HB65" s="116"/>
      <c r="HC65" s="116"/>
      <c r="HD65" s="116"/>
      <c r="HE65" s="116"/>
      <c r="HF65" s="116"/>
      <c r="HG65" s="116"/>
      <c r="HH65" s="116"/>
      <c r="HI65" s="116"/>
      <c r="HJ65" s="116"/>
      <c r="HK65" s="116"/>
      <c r="HL65" s="116"/>
      <c r="HM65" s="116"/>
      <c r="HN65" s="116"/>
      <c r="HO65" s="116"/>
      <c r="HP65" s="116"/>
      <c r="HQ65" s="116"/>
      <c r="HR65" s="116"/>
      <c r="HS65" s="116"/>
      <c r="HT65" s="116"/>
      <c r="HU65" s="116"/>
      <c r="HV65" s="116"/>
      <c r="HW65" s="116"/>
      <c r="HX65" s="116"/>
      <c r="HY65" s="116"/>
      <c r="HZ65" s="116"/>
      <c r="IA65" s="116"/>
      <c r="IB65" s="116"/>
      <c r="IC65" s="116"/>
      <c r="ID65" s="116"/>
      <c r="IE65" s="116"/>
      <c r="IF65" s="116"/>
      <c r="IG65" s="116"/>
      <c r="IH65" s="116"/>
      <c r="II65" s="116"/>
      <c r="IJ65" s="116"/>
      <c r="IK65" s="116"/>
      <c r="IL65" s="116"/>
      <c r="IM65" s="116"/>
      <c r="IN65" s="116"/>
      <c r="IO65" s="116"/>
      <c r="IP65" s="116"/>
      <c r="IQ65" s="116"/>
      <c r="IR65" s="116"/>
      <c r="IS65" s="116"/>
      <c r="IT65" s="116"/>
      <c r="IU65" s="116"/>
      <c r="IV65" s="116"/>
      <c r="IW65" s="116"/>
    </row>
    <row r="66" spans="2:257" x14ac:dyDescent="0.3">
      <c r="B66" s="370" t="s">
        <v>153</v>
      </c>
      <c r="C66" s="370"/>
      <c r="D66" s="135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116"/>
      <c r="EU66" s="116"/>
      <c r="EV66" s="116"/>
      <c r="EW66" s="116"/>
      <c r="EX66" s="116"/>
      <c r="EY66" s="116"/>
      <c r="EZ66" s="116"/>
      <c r="FA66" s="116"/>
      <c r="FB66" s="116"/>
      <c r="FC66" s="116"/>
      <c r="FD66" s="116"/>
      <c r="FE66" s="116"/>
      <c r="FF66" s="116"/>
      <c r="FG66" s="116"/>
      <c r="FH66" s="116"/>
      <c r="FI66" s="116"/>
      <c r="FJ66" s="116"/>
      <c r="FK66" s="116"/>
      <c r="FL66" s="116"/>
      <c r="FM66" s="116"/>
      <c r="FN66" s="116"/>
      <c r="FO66" s="116"/>
      <c r="FP66" s="116"/>
      <c r="FQ66" s="116"/>
      <c r="FR66" s="116"/>
      <c r="FS66" s="116"/>
      <c r="FT66" s="116"/>
      <c r="FU66" s="116"/>
      <c r="FV66" s="116"/>
      <c r="FW66" s="116"/>
      <c r="FX66" s="116"/>
      <c r="FY66" s="116"/>
      <c r="FZ66" s="116"/>
      <c r="GA66" s="116"/>
      <c r="GB66" s="116"/>
      <c r="GC66" s="116"/>
      <c r="GD66" s="116"/>
      <c r="GE66" s="116"/>
      <c r="GF66" s="116"/>
      <c r="GG66" s="116"/>
      <c r="GH66" s="116"/>
      <c r="GI66" s="116"/>
      <c r="GJ66" s="116"/>
      <c r="GK66" s="116"/>
      <c r="GL66" s="116"/>
      <c r="GM66" s="116"/>
      <c r="GN66" s="116"/>
      <c r="GO66" s="116"/>
      <c r="GP66" s="116"/>
      <c r="GQ66" s="116"/>
      <c r="GR66" s="116"/>
      <c r="GS66" s="116"/>
      <c r="GT66" s="116"/>
      <c r="GU66" s="116"/>
      <c r="GV66" s="116"/>
      <c r="GW66" s="116"/>
      <c r="GX66" s="116"/>
      <c r="GY66" s="116"/>
      <c r="GZ66" s="116"/>
      <c r="HA66" s="116"/>
      <c r="HB66" s="116"/>
      <c r="HC66" s="116"/>
      <c r="HD66" s="116"/>
      <c r="HE66" s="116"/>
      <c r="HF66" s="116"/>
      <c r="HG66" s="116"/>
      <c r="HH66" s="116"/>
      <c r="HI66" s="116"/>
      <c r="HJ66" s="116"/>
      <c r="HK66" s="116"/>
      <c r="HL66" s="116"/>
      <c r="HM66" s="116"/>
      <c r="HN66" s="116"/>
      <c r="HO66" s="116"/>
      <c r="HP66" s="116"/>
      <c r="HQ66" s="116"/>
      <c r="HR66" s="116"/>
      <c r="HS66" s="116"/>
      <c r="HT66" s="116"/>
      <c r="HU66" s="116"/>
      <c r="HV66" s="116"/>
      <c r="HW66" s="116"/>
      <c r="HX66" s="116"/>
      <c r="HY66" s="116"/>
      <c r="HZ66" s="116"/>
      <c r="IA66" s="116"/>
      <c r="IB66" s="116"/>
      <c r="IC66" s="116"/>
      <c r="ID66" s="116"/>
      <c r="IE66" s="116"/>
      <c r="IF66" s="116"/>
      <c r="IG66" s="116"/>
      <c r="IH66" s="116"/>
      <c r="II66" s="116"/>
      <c r="IJ66" s="116"/>
      <c r="IK66" s="116"/>
      <c r="IL66" s="116"/>
      <c r="IM66" s="116"/>
      <c r="IN66" s="116"/>
      <c r="IO66" s="116"/>
      <c r="IP66" s="116"/>
      <c r="IQ66" s="116"/>
      <c r="IR66" s="116"/>
      <c r="IS66" s="116"/>
      <c r="IT66" s="116"/>
      <c r="IU66" s="116"/>
      <c r="IV66" s="116"/>
      <c r="IW66" s="116"/>
    </row>
    <row r="67" spans="2:257" x14ac:dyDescent="0.3">
      <c r="B67" s="377" t="s">
        <v>154</v>
      </c>
      <c r="C67" s="377"/>
      <c r="D67" s="135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116"/>
      <c r="EU67" s="116"/>
      <c r="EV67" s="116"/>
      <c r="EW67" s="116"/>
      <c r="EX67" s="116"/>
      <c r="EY67" s="116"/>
      <c r="EZ67" s="116"/>
      <c r="FA67" s="116"/>
      <c r="FB67" s="116"/>
      <c r="FC67" s="116"/>
      <c r="FD67" s="116"/>
      <c r="FE67" s="116"/>
      <c r="FF67" s="116"/>
      <c r="FG67" s="116"/>
      <c r="FH67" s="116"/>
      <c r="FI67" s="116"/>
      <c r="FJ67" s="116"/>
      <c r="FK67" s="116"/>
      <c r="FL67" s="116"/>
      <c r="FM67" s="116"/>
      <c r="FN67" s="116"/>
      <c r="FO67" s="116"/>
      <c r="FP67" s="116"/>
      <c r="FQ67" s="116"/>
      <c r="FR67" s="116"/>
      <c r="FS67" s="116"/>
      <c r="FT67" s="116"/>
      <c r="FU67" s="116"/>
      <c r="FV67" s="116"/>
      <c r="FW67" s="116"/>
      <c r="FX67" s="116"/>
      <c r="FY67" s="116"/>
      <c r="FZ67" s="116"/>
      <c r="GA67" s="116"/>
      <c r="GB67" s="116"/>
      <c r="GC67" s="116"/>
      <c r="GD67" s="116"/>
      <c r="GE67" s="116"/>
      <c r="GF67" s="116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6"/>
      <c r="HI67" s="116"/>
      <c r="HJ67" s="116"/>
      <c r="HK67" s="116"/>
      <c r="HL67" s="116"/>
      <c r="HM67" s="116"/>
      <c r="HN67" s="116"/>
      <c r="HO67" s="116"/>
      <c r="HP67" s="116"/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  <c r="IW67" s="116"/>
    </row>
    <row r="68" spans="2:257" x14ac:dyDescent="0.3">
      <c r="B68" s="133" t="s">
        <v>155</v>
      </c>
      <c r="C68" s="209">
        <v>50000000</v>
      </c>
      <c r="D68" s="135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116"/>
      <c r="EU68" s="116"/>
      <c r="EV68" s="116"/>
      <c r="EW68" s="116"/>
      <c r="EX68" s="116"/>
      <c r="EY68" s="116"/>
      <c r="EZ68" s="116"/>
      <c r="FA68" s="116"/>
      <c r="FB68" s="116"/>
      <c r="FC68" s="116"/>
      <c r="FD68" s="116"/>
      <c r="FE68" s="116"/>
      <c r="FF68" s="116"/>
      <c r="FG68" s="116"/>
      <c r="FH68" s="116"/>
      <c r="FI68" s="116"/>
      <c r="FJ68" s="116"/>
      <c r="FK68" s="116"/>
      <c r="FL68" s="116"/>
      <c r="FM68" s="116"/>
      <c r="FN68" s="116"/>
      <c r="FO68" s="116"/>
      <c r="FP68" s="116"/>
      <c r="FQ68" s="116"/>
      <c r="FR68" s="116"/>
      <c r="FS68" s="116"/>
      <c r="FT68" s="116"/>
      <c r="FU68" s="116"/>
      <c r="FV68" s="116"/>
      <c r="FW68" s="116"/>
      <c r="FX68" s="116"/>
      <c r="FY68" s="116"/>
      <c r="FZ68" s="116"/>
      <c r="GA68" s="116"/>
      <c r="GB68" s="116"/>
      <c r="GC68" s="116"/>
      <c r="GD68" s="116"/>
      <c r="GE68" s="116"/>
      <c r="GF68" s="116"/>
      <c r="GG68" s="116"/>
      <c r="GH68" s="116"/>
      <c r="GI68" s="116"/>
      <c r="GJ68" s="116"/>
      <c r="GK68" s="116"/>
      <c r="GL68" s="116"/>
      <c r="GM68" s="116"/>
      <c r="GN68" s="116"/>
      <c r="GO68" s="116"/>
      <c r="GP68" s="116"/>
      <c r="GQ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  <c r="IW68" s="116"/>
    </row>
    <row r="69" spans="2:257" x14ac:dyDescent="0.3">
      <c r="B69" s="133" t="s">
        <v>156</v>
      </c>
      <c r="C69" s="212">
        <v>0.24890000000000001</v>
      </c>
      <c r="D69" s="135" t="s">
        <v>258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  <c r="DM69" s="116"/>
      <c r="DN69" s="116"/>
      <c r="DO69" s="116"/>
      <c r="DP69" s="116"/>
      <c r="DQ69" s="116"/>
      <c r="DR69" s="116"/>
      <c r="DS69" s="116"/>
      <c r="DT69" s="116"/>
      <c r="DU69" s="116"/>
      <c r="DV69" s="116"/>
      <c r="DW69" s="116"/>
      <c r="DX69" s="116"/>
      <c r="DY69" s="116"/>
      <c r="DZ69" s="116"/>
      <c r="EA69" s="116"/>
      <c r="EB69" s="116"/>
      <c r="EC69" s="116"/>
      <c r="ED69" s="116"/>
      <c r="EE69" s="116"/>
      <c r="EF69" s="116"/>
      <c r="EG69" s="116"/>
      <c r="EH69" s="116"/>
      <c r="EI69" s="116"/>
      <c r="EJ69" s="116"/>
      <c r="EK69" s="116"/>
      <c r="EL69" s="116"/>
      <c r="EM69" s="116"/>
      <c r="EN69" s="116"/>
      <c r="EO69" s="116"/>
      <c r="EP69" s="116"/>
      <c r="EQ69" s="116"/>
      <c r="ER69" s="116"/>
      <c r="ES69" s="116"/>
      <c r="ET69" s="116"/>
      <c r="EU69" s="116"/>
      <c r="EV69" s="116"/>
      <c r="EW69" s="116"/>
      <c r="EX69" s="116"/>
      <c r="EY69" s="116"/>
      <c r="EZ69" s="116"/>
      <c r="FA69" s="116"/>
      <c r="FB69" s="116"/>
      <c r="FC69" s="116"/>
      <c r="FD69" s="116"/>
      <c r="FE69" s="116"/>
      <c r="FF69" s="116"/>
      <c r="FG69" s="116"/>
      <c r="FH69" s="116"/>
      <c r="FI69" s="116"/>
      <c r="FJ69" s="116"/>
      <c r="FK69" s="116"/>
      <c r="FL69" s="116"/>
      <c r="FM69" s="116"/>
      <c r="FN69" s="116"/>
      <c r="FO69" s="116"/>
      <c r="FP69" s="116"/>
      <c r="FQ69" s="116"/>
      <c r="FR69" s="116"/>
      <c r="FS69" s="116"/>
      <c r="FT69" s="116"/>
      <c r="FU69" s="116"/>
      <c r="FV69" s="116"/>
      <c r="FW69" s="116"/>
      <c r="FX69" s="116"/>
      <c r="FY69" s="116"/>
      <c r="FZ69" s="116"/>
      <c r="GA69" s="116"/>
      <c r="GB69" s="116"/>
      <c r="GC69" s="116"/>
      <c r="GD69" s="116"/>
      <c r="GE69" s="116"/>
      <c r="GF69" s="116"/>
      <c r="GG69" s="116"/>
      <c r="GH69" s="116"/>
      <c r="GI69" s="116"/>
      <c r="GJ69" s="116"/>
      <c r="GK69" s="116"/>
      <c r="GL69" s="116"/>
      <c r="GM69" s="116"/>
      <c r="GN69" s="116"/>
      <c r="GO69" s="116"/>
      <c r="GP69" s="116"/>
      <c r="GQ69" s="116"/>
      <c r="GR69" s="116"/>
      <c r="GS69" s="116"/>
      <c r="GT69" s="116"/>
      <c r="GU69" s="116"/>
      <c r="GV69" s="116"/>
      <c r="GW69" s="116"/>
      <c r="GX69" s="116"/>
      <c r="GY69" s="116"/>
      <c r="GZ69" s="116"/>
      <c r="HA69" s="116"/>
      <c r="HB69" s="116"/>
      <c r="HC69" s="116"/>
      <c r="HD69" s="116"/>
      <c r="HE69" s="116"/>
      <c r="HF69" s="116"/>
      <c r="HG69" s="116"/>
      <c r="HH69" s="116"/>
      <c r="HI69" s="116"/>
      <c r="HJ69" s="116"/>
      <c r="HK69" s="116"/>
      <c r="HL69" s="116"/>
      <c r="HM69" s="116"/>
      <c r="HN69" s="116"/>
      <c r="HO69" s="116"/>
      <c r="HP69" s="116"/>
      <c r="HQ69" s="116"/>
      <c r="HR69" s="116"/>
      <c r="HS69" s="116"/>
      <c r="HT69" s="116"/>
      <c r="HU69" s="116"/>
      <c r="HV69" s="116"/>
      <c r="HW69" s="116"/>
      <c r="HX69" s="116"/>
      <c r="HY69" s="116"/>
      <c r="HZ69" s="116"/>
      <c r="IA69" s="116"/>
      <c r="IB69" s="116"/>
      <c r="IC69" s="116"/>
      <c r="ID69" s="116"/>
      <c r="IE69" s="116"/>
      <c r="IF69" s="116"/>
      <c r="IG69" s="116"/>
      <c r="IH69" s="116"/>
      <c r="II69" s="116"/>
      <c r="IJ69" s="116"/>
      <c r="IK69" s="116"/>
      <c r="IL69" s="116"/>
      <c r="IM69" s="116"/>
      <c r="IN69" s="116"/>
      <c r="IO69" s="116"/>
      <c r="IP69" s="116"/>
      <c r="IQ69" s="116"/>
      <c r="IR69" s="116"/>
      <c r="IS69" s="116"/>
      <c r="IT69" s="116"/>
      <c r="IU69" s="116"/>
      <c r="IV69" s="116"/>
      <c r="IW69" s="116"/>
    </row>
    <row r="70" spans="2:257" x14ac:dyDescent="0.3">
      <c r="B70" s="133" t="s">
        <v>157</v>
      </c>
      <c r="C70" s="153" t="s">
        <v>257</v>
      </c>
      <c r="D70" s="135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  <c r="DM70" s="116"/>
      <c r="DN70" s="116"/>
      <c r="DO70" s="116"/>
      <c r="DP70" s="116"/>
      <c r="DQ70" s="116"/>
      <c r="DR70" s="116"/>
      <c r="DS70" s="116"/>
      <c r="DT70" s="116"/>
      <c r="DU70" s="116"/>
      <c r="DV70" s="116"/>
      <c r="DW70" s="116"/>
      <c r="DX70" s="116"/>
      <c r="DY70" s="116"/>
      <c r="DZ70" s="116"/>
      <c r="EA70" s="116"/>
      <c r="EB70" s="116"/>
      <c r="EC70" s="116"/>
      <c r="ED70" s="116"/>
      <c r="EE70" s="116"/>
      <c r="EF70" s="116"/>
      <c r="EG70" s="116"/>
      <c r="EH70" s="116"/>
      <c r="EI70" s="116"/>
      <c r="EJ70" s="116"/>
      <c r="EK70" s="116"/>
      <c r="EL70" s="116"/>
      <c r="EM70" s="116"/>
      <c r="EN70" s="116"/>
      <c r="EO70" s="116"/>
      <c r="EP70" s="116"/>
      <c r="EQ70" s="116"/>
      <c r="ER70" s="116"/>
      <c r="ES70" s="116"/>
      <c r="ET70" s="116"/>
      <c r="EU70" s="116"/>
      <c r="EV70" s="116"/>
      <c r="EW70" s="116"/>
      <c r="EX70" s="116"/>
      <c r="EY70" s="116"/>
      <c r="EZ70" s="116"/>
      <c r="FA70" s="116"/>
      <c r="FB70" s="116"/>
      <c r="FC70" s="116"/>
      <c r="FD70" s="116"/>
      <c r="FE70" s="116"/>
      <c r="FF70" s="116"/>
      <c r="FG70" s="116"/>
      <c r="FH70" s="116"/>
      <c r="FI70" s="116"/>
      <c r="FJ70" s="116"/>
      <c r="FK70" s="116"/>
      <c r="FL70" s="116"/>
      <c r="FM70" s="116"/>
      <c r="FN70" s="116"/>
      <c r="FO70" s="116"/>
      <c r="FP70" s="116"/>
      <c r="FQ70" s="116"/>
      <c r="FR70" s="116"/>
      <c r="FS70" s="116"/>
      <c r="FT70" s="116"/>
      <c r="FU70" s="116"/>
      <c r="FV70" s="116"/>
      <c r="FW70" s="116"/>
      <c r="FX70" s="116"/>
      <c r="FY70" s="116"/>
      <c r="FZ70" s="116"/>
      <c r="GA70" s="116"/>
      <c r="GB70" s="116"/>
      <c r="GC70" s="116"/>
      <c r="GD70" s="116"/>
      <c r="GE70" s="116"/>
      <c r="GF70" s="116"/>
      <c r="GG70" s="116"/>
      <c r="GH70" s="116"/>
      <c r="GI70" s="116"/>
      <c r="GJ70" s="116"/>
      <c r="GK70" s="116"/>
      <c r="GL70" s="116"/>
      <c r="GM70" s="116"/>
      <c r="GN70" s="116"/>
      <c r="GO70" s="116"/>
      <c r="GP70" s="116"/>
      <c r="GQ70" s="116"/>
      <c r="GR70" s="116"/>
      <c r="GS70" s="116"/>
      <c r="GT70" s="116"/>
      <c r="GU70" s="116"/>
      <c r="GV70" s="116"/>
      <c r="GW70" s="116"/>
      <c r="GX70" s="116"/>
      <c r="GY70" s="116"/>
      <c r="GZ70" s="116"/>
      <c r="HA70" s="116"/>
      <c r="HB70" s="116"/>
      <c r="HC70" s="116"/>
      <c r="HD70" s="116"/>
      <c r="HE70" s="116"/>
      <c r="HF70" s="116"/>
      <c r="HG70" s="116"/>
      <c r="HH70" s="116"/>
      <c r="HI70" s="116"/>
      <c r="HJ70" s="116"/>
      <c r="HK70" s="116"/>
      <c r="HL70" s="116"/>
      <c r="HM70" s="116"/>
      <c r="HN70" s="116"/>
      <c r="HO70" s="116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116"/>
      <c r="IA70" s="116"/>
      <c r="IB70" s="116"/>
      <c r="IC70" s="116"/>
      <c r="ID70" s="116"/>
      <c r="IE70" s="116"/>
      <c r="IF70" s="116"/>
      <c r="IG70" s="116"/>
      <c r="IH70" s="116"/>
      <c r="II70" s="116"/>
      <c r="IJ70" s="116"/>
      <c r="IK70" s="116"/>
      <c r="IL70" s="116"/>
      <c r="IM70" s="116"/>
      <c r="IN70" s="116"/>
      <c r="IO70" s="116"/>
      <c r="IP70" s="116"/>
      <c r="IQ70" s="116"/>
      <c r="IR70" s="116"/>
      <c r="IS70" s="116"/>
      <c r="IT70" s="116"/>
      <c r="IU70" s="116"/>
      <c r="IV70" s="116"/>
      <c r="IW70" s="116"/>
    </row>
    <row r="71" spans="2:257" x14ac:dyDescent="0.3">
      <c r="B71" s="133" t="s">
        <v>158</v>
      </c>
      <c r="C71" s="151">
        <v>5</v>
      </c>
      <c r="D71" s="135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  <c r="DM71" s="116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  <c r="DZ71" s="116"/>
      <c r="EA71" s="116"/>
      <c r="EB71" s="116"/>
      <c r="EC71" s="116"/>
      <c r="ED71" s="116"/>
      <c r="EE71" s="116"/>
      <c r="EF71" s="116"/>
      <c r="EG71" s="116"/>
      <c r="EH71" s="116"/>
      <c r="EI71" s="116"/>
      <c r="EJ71" s="116"/>
      <c r="EK71" s="116"/>
      <c r="EL71" s="116"/>
      <c r="EM71" s="116"/>
      <c r="EN71" s="116"/>
      <c r="EO71" s="116"/>
      <c r="EP71" s="116"/>
      <c r="EQ71" s="116"/>
      <c r="ER71" s="116"/>
      <c r="ES71" s="116"/>
      <c r="ET71" s="116"/>
      <c r="EU71" s="116"/>
      <c r="EV71" s="116"/>
      <c r="EW71" s="116"/>
      <c r="EX71" s="116"/>
      <c r="EY71" s="116"/>
      <c r="EZ71" s="116"/>
      <c r="FA71" s="116"/>
      <c r="FB71" s="116"/>
      <c r="FC71" s="116"/>
      <c r="FD71" s="116"/>
      <c r="FE71" s="116"/>
      <c r="FF71" s="116"/>
      <c r="FG71" s="116"/>
      <c r="FH71" s="116"/>
      <c r="FI71" s="116"/>
      <c r="FJ71" s="116"/>
      <c r="FK71" s="116"/>
      <c r="FL71" s="116"/>
      <c r="FM71" s="116"/>
      <c r="FN71" s="116"/>
      <c r="FO71" s="116"/>
      <c r="FP71" s="116"/>
      <c r="FQ71" s="116"/>
      <c r="FR71" s="116"/>
      <c r="FS71" s="116"/>
      <c r="FT71" s="116"/>
      <c r="FU71" s="116"/>
      <c r="FV71" s="116"/>
      <c r="FW71" s="116"/>
      <c r="FX71" s="116"/>
      <c r="FY71" s="116"/>
      <c r="FZ71" s="116"/>
      <c r="GA71" s="116"/>
      <c r="GB71" s="116"/>
      <c r="GC71" s="116"/>
      <c r="GD71" s="116"/>
      <c r="GE71" s="116"/>
      <c r="GF71" s="116"/>
      <c r="GG71" s="116"/>
      <c r="GH71" s="116"/>
      <c r="GI71" s="116"/>
      <c r="GJ71" s="116"/>
      <c r="GK71" s="116"/>
      <c r="GL71" s="116"/>
      <c r="GM71" s="116"/>
      <c r="GN71" s="116"/>
      <c r="GO71" s="116"/>
      <c r="GP71" s="116"/>
      <c r="GQ71" s="116"/>
      <c r="GR71" s="116"/>
      <c r="GS71" s="116"/>
      <c r="GT71" s="116"/>
      <c r="GU71" s="116"/>
      <c r="GV71" s="116"/>
      <c r="GW71" s="116"/>
      <c r="GX71" s="116"/>
      <c r="GY71" s="116"/>
      <c r="GZ71" s="116"/>
      <c r="HA71" s="116"/>
      <c r="HB71" s="116"/>
      <c r="HC71" s="116"/>
      <c r="HD71" s="116"/>
      <c r="HE71" s="116"/>
      <c r="HF71" s="116"/>
      <c r="HG71" s="116"/>
      <c r="HH71" s="116"/>
      <c r="HI71" s="116"/>
      <c r="HJ71" s="116"/>
      <c r="HK71" s="116"/>
      <c r="HL71" s="116"/>
      <c r="HM71" s="116"/>
      <c r="HN71" s="116"/>
      <c r="HO71" s="116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116"/>
      <c r="IA71" s="116"/>
      <c r="IB71" s="116"/>
      <c r="IC71" s="116"/>
      <c r="ID71" s="116"/>
      <c r="IE71" s="116"/>
      <c r="IF71" s="116"/>
      <c r="IG71" s="116"/>
      <c r="IH71" s="116"/>
      <c r="II71" s="116"/>
      <c r="IJ71" s="116"/>
      <c r="IK71" s="116"/>
      <c r="IL71" s="116"/>
      <c r="IM71" s="116"/>
      <c r="IN71" s="116"/>
      <c r="IO71" s="116"/>
      <c r="IP71" s="116"/>
      <c r="IQ71" s="116"/>
      <c r="IR71" s="116"/>
      <c r="IS71" s="116"/>
      <c r="IT71" s="116"/>
      <c r="IU71" s="116"/>
      <c r="IV71" s="116"/>
      <c r="IW71" s="116"/>
    </row>
    <row r="72" spans="2:257" x14ac:dyDescent="0.3">
      <c r="B72" s="115"/>
      <c r="C72" s="132"/>
      <c r="D72" s="135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  <c r="DM72" s="116"/>
      <c r="DN72" s="116"/>
      <c r="DO72" s="116"/>
      <c r="DP72" s="116"/>
      <c r="DQ72" s="116"/>
      <c r="DR72" s="116"/>
      <c r="DS72" s="116"/>
      <c r="DT72" s="116"/>
      <c r="DU72" s="116"/>
      <c r="DV72" s="116"/>
      <c r="DW72" s="116"/>
      <c r="DX72" s="116"/>
      <c r="DY72" s="116"/>
      <c r="DZ72" s="116"/>
      <c r="EA72" s="116"/>
      <c r="EB72" s="116"/>
      <c r="EC72" s="116"/>
      <c r="ED72" s="116"/>
      <c r="EE72" s="116"/>
      <c r="EF72" s="116"/>
      <c r="EG72" s="116"/>
      <c r="EH72" s="116"/>
      <c r="EI72" s="116"/>
      <c r="EJ72" s="116"/>
      <c r="EK72" s="116"/>
      <c r="EL72" s="116"/>
      <c r="EM72" s="116"/>
      <c r="EN72" s="116"/>
      <c r="EO72" s="116"/>
      <c r="EP72" s="116"/>
      <c r="EQ72" s="116"/>
      <c r="ER72" s="116"/>
      <c r="ES72" s="116"/>
      <c r="ET72" s="116"/>
      <c r="EU72" s="116"/>
      <c r="EV72" s="116"/>
      <c r="EW72" s="116"/>
      <c r="EX72" s="116"/>
      <c r="EY72" s="116"/>
      <c r="EZ72" s="116"/>
      <c r="FA72" s="116"/>
      <c r="FB72" s="116"/>
      <c r="FC72" s="116"/>
      <c r="FD72" s="116"/>
      <c r="FE72" s="116"/>
      <c r="FF72" s="116"/>
      <c r="FG72" s="116"/>
      <c r="FH72" s="116"/>
      <c r="FI72" s="116"/>
      <c r="FJ72" s="116"/>
      <c r="FK72" s="116"/>
      <c r="FL72" s="116"/>
      <c r="FM72" s="116"/>
      <c r="FN72" s="116"/>
      <c r="FO72" s="116"/>
      <c r="FP72" s="116"/>
      <c r="FQ72" s="116"/>
      <c r="FR72" s="116"/>
      <c r="FS72" s="116"/>
      <c r="FT72" s="116"/>
      <c r="FU72" s="116"/>
      <c r="FV72" s="116"/>
      <c r="FW72" s="116"/>
      <c r="FX72" s="116"/>
      <c r="FY72" s="116"/>
      <c r="FZ72" s="116"/>
      <c r="GA72" s="116"/>
      <c r="GB72" s="116"/>
      <c r="GC72" s="116"/>
      <c r="GD72" s="116"/>
      <c r="GE72" s="116"/>
      <c r="GF72" s="116"/>
      <c r="GG72" s="116"/>
      <c r="GH72" s="116"/>
      <c r="GI72" s="116"/>
      <c r="GJ72" s="116"/>
      <c r="GK72" s="116"/>
      <c r="GL72" s="116"/>
      <c r="GM72" s="116"/>
      <c r="GN72" s="116"/>
      <c r="GO72" s="116"/>
      <c r="GP72" s="116"/>
      <c r="GQ72" s="116"/>
      <c r="GR72" s="116"/>
      <c r="GS72" s="116"/>
      <c r="GT72" s="116"/>
      <c r="GU72" s="116"/>
      <c r="GV72" s="116"/>
      <c r="GW72" s="116"/>
      <c r="GX72" s="116"/>
      <c r="GY72" s="116"/>
      <c r="GZ72" s="116"/>
      <c r="HA72" s="116"/>
      <c r="HB72" s="116"/>
      <c r="HC72" s="116"/>
      <c r="HD72" s="116"/>
      <c r="HE72" s="116"/>
      <c r="HF72" s="116"/>
      <c r="HG72" s="116"/>
      <c r="HH72" s="116"/>
      <c r="HI72" s="116"/>
      <c r="HJ72" s="116"/>
      <c r="HK72" s="116"/>
      <c r="HL72" s="116"/>
      <c r="HM72" s="116"/>
      <c r="HN72" s="116"/>
      <c r="HO72" s="116"/>
      <c r="HP72" s="116"/>
      <c r="HQ72" s="116"/>
      <c r="HR72" s="116"/>
      <c r="HS72" s="116"/>
      <c r="HT72" s="116"/>
      <c r="HU72" s="116"/>
      <c r="HV72" s="116"/>
      <c r="HW72" s="116"/>
      <c r="HX72" s="116"/>
      <c r="HY72" s="116"/>
      <c r="HZ72" s="116"/>
      <c r="IA72" s="116"/>
      <c r="IB72" s="116"/>
      <c r="IC72" s="116"/>
      <c r="ID72" s="116"/>
      <c r="IE72" s="116"/>
      <c r="IF72" s="116"/>
      <c r="IG72" s="116"/>
      <c r="IH72" s="116"/>
      <c r="II72" s="116"/>
      <c r="IJ72" s="116"/>
      <c r="IK72" s="116"/>
      <c r="IL72" s="116"/>
      <c r="IM72" s="116"/>
      <c r="IN72" s="116"/>
      <c r="IO72" s="116"/>
      <c r="IP72" s="116"/>
      <c r="IQ72" s="116"/>
      <c r="IR72" s="116"/>
      <c r="IS72" s="116"/>
      <c r="IT72" s="116"/>
      <c r="IU72" s="116"/>
      <c r="IV72" s="116"/>
      <c r="IW72" s="116"/>
    </row>
    <row r="73" spans="2:257" x14ac:dyDescent="0.3">
      <c r="B73" s="370" t="s">
        <v>159</v>
      </c>
      <c r="C73" s="370"/>
      <c r="D73" s="135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  <c r="DM73" s="116"/>
      <c r="DN73" s="116"/>
      <c r="DO73" s="116"/>
      <c r="DP73" s="116"/>
      <c r="DQ73" s="116"/>
      <c r="DR73" s="116"/>
      <c r="DS73" s="116"/>
      <c r="DT73" s="116"/>
      <c r="DU73" s="116"/>
      <c r="DV73" s="116"/>
      <c r="DW73" s="116"/>
      <c r="DX73" s="116"/>
      <c r="DY73" s="116"/>
      <c r="DZ73" s="116"/>
      <c r="EA73" s="116"/>
      <c r="EB73" s="116"/>
      <c r="EC73" s="116"/>
      <c r="ED73" s="116"/>
      <c r="EE73" s="116"/>
      <c r="EF73" s="116"/>
      <c r="EG73" s="116"/>
      <c r="EH73" s="116"/>
      <c r="EI73" s="116"/>
      <c r="EJ73" s="116"/>
      <c r="EK73" s="116"/>
      <c r="EL73" s="116"/>
      <c r="EM73" s="116"/>
      <c r="EN73" s="116"/>
      <c r="EO73" s="116"/>
      <c r="EP73" s="116"/>
      <c r="EQ73" s="116"/>
      <c r="ER73" s="116"/>
      <c r="ES73" s="116"/>
      <c r="ET73" s="116"/>
      <c r="EU73" s="116"/>
      <c r="EV73" s="116"/>
      <c r="EW73" s="116"/>
      <c r="EX73" s="116"/>
      <c r="EY73" s="116"/>
      <c r="EZ73" s="116"/>
      <c r="FA73" s="116"/>
      <c r="FB73" s="116"/>
      <c r="FC73" s="116"/>
      <c r="FD73" s="116"/>
      <c r="FE73" s="116"/>
      <c r="FF73" s="116"/>
      <c r="FG73" s="116"/>
      <c r="FH73" s="116"/>
      <c r="FI73" s="116"/>
      <c r="FJ73" s="116"/>
      <c r="FK73" s="116"/>
      <c r="FL73" s="116"/>
      <c r="FM73" s="116"/>
      <c r="FN73" s="116"/>
      <c r="FO73" s="116"/>
      <c r="FP73" s="116"/>
      <c r="FQ73" s="116"/>
      <c r="FR73" s="116"/>
      <c r="FS73" s="116"/>
      <c r="FT73" s="116"/>
      <c r="FU73" s="116"/>
      <c r="FV73" s="116"/>
      <c r="FW73" s="116"/>
      <c r="FX73" s="116"/>
      <c r="FY73" s="116"/>
      <c r="FZ73" s="116"/>
      <c r="GA73" s="116"/>
      <c r="GB73" s="116"/>
      <c r="GC73" s="116"/>
      <c r="GD73" s="116"/>
      <c r="GE73" s="116"/>
      <c r="GF73" s="116"/>
      <c r="GG73" s="116"/>
      <c r="GH73" s="116"/>
      <c r="GI73" s="116"/>
      <c r="GJ73" s="116"/>
      <c r="GK73" s="116"/>
      <c r="GL73" s="116"/>
      <c r="GM73" s="116"/>
      <c r="GN73" s="116"/>
      <c r="GO73" s="116"/>
      <c r="GP73" s="116"/>
      <c r="GQ73" s="116"/>
      <c r="GR73" s="116"/>
      <c r="GS73" s="116"/>
      <c r="GT73" s="116"/>
      <c r="GU73" s="116"/>
      <c r="GV73" s="116"/>
      <c r="GW73" s="116"/>
      <c r="GX73" s="116"/>
      <c r="GY73" s="116"/>
      <c r="GZ73" s="116"/>
      <c r="HA73" s="116"/>
      <c r="HB73" s="116"/>
      <c r="HC73" s="116"/>
      <c r="HD73" s="116"/>
      <c r="HE73" s="116"/>
      <c r="HF73" s="116"/>
      <c r="HG73" s="116"/>
      <c r="HH73" s="116"/>
      <c r="HI73" s="116"/>
      <c r="HJ73" s="116"/>
      <c r="HK73" s="116"/>
      <c r="HL73" s="116"/>
      <c r="HM73" s="116"/>
      <c r="HN73" s="116"/>
      <c r="HO73" s="116"/>
      <c r="HP73" s="116"/>
      <c r="HQ73" s="116"/>
      <c r="HR73" s="116"/>
      <c r="HS73" s="116"/>
      <c r="HT73" s="116"/>
      <c r="HU73" s="116"/>
      <c r="HV73" s="116"/>
      <c r="HW73" s="116"/>
      <c r="HX73" s="116"/>
      <c r="HY73" s="116"/>
      <c r="HZ73" s="116"/>
      <c r="IA73" s="116"/>
      <c r="IB73" s="116"/>
      <c r="IC73" s="116"/>
      <c r="ID73" s="116"/>
      <c r="IE73" s="116"/>
      <c r="IF73" s="116"/>
      <c r="IG73" s="116"/>
      <c r="IH73" s="116"/>
      <c r="II73" s="116"/>
      <c r="IJ73" s="116"/>
      <c r="IK73" s="116"/>
      <c r="IL73" s="116"/>
      <c r="IM73" s="116"/>
      <c r="IN73" s="116"/>
      <c r="IO73" s="116"/>
      <c r="IP73" s="116"/>
      <c r="IQ73" s="116"/>
      <c r="IR73" s="116"/>
      <c r="IS73" s="116"/>
      <c r="IT73" s="116"/>
      <c r="IU73" s="116"/>
      <c r="IV73" s="116"/>
      <c r="IW73" s="116"/>
    </row>
    <row r="74" spans="2:257" x14ac:dyDescent="0.3">
      <c r="B74" s="377" t="s">
        <v>160</v>
      </c>
      <c r="C74" s="377"/>
      <c r="D74" s="135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  <c r="DM74" s="116"/>
      <c r="DN74" s="116"/>
      <c r="DO74" s="116"/>
      <c r="DP74" s="116"/>
      <c r="DQ74" s="116"/>
      <c r="DR74" s="116"/>
      <c r="DS74" s="116"/>
      <c r="DT74" s="116"/>
      <c r="DU74" s="116"/>
      <c r="DV74" s="116"/>
      <c r="DW74" s="116"/>
      <c r="DX74" s="116"/>
      <c r="DY74" s="116"/>
      <c r="DZ74" s="116"/>
      <c r="EA74" s="116"/>
      <c r="EB74" s="116"/>
      <c r="EC74" s="116"/>
      <c r="ED74" s="116"/>
      <c r="EE74" s="116"/>
      <c r="EF74" s="116"/>
      <c r="EG74" s="116"/>
      <c r="EH74" s="116"/>
      <c r="EI74" s="116"/>
      <c r="EJ74" s="116"/>
      <c r="EK74" s="116"/>
      <c r="EL74" s="116"/>
      <c r="EM74" s="116"/>
      <c r="EN74" s="116"/>
      <c r="EO74" s="116"/>
      <c r="EP74" s="116"/>
      <c r="EQ74" s="116"/>
      <c r="ER74" s="116"/>
      <c r="ES74" s="116"/>
      <c r="ET74" s="116"/>
      <c r="EU74" s="116"/>
      <c r="EV74" s="116"/>
      <c r="EW74" s="116"/>
      <c r="EX74" s="116"/>
      <c r="EY74" s="116"/>
      <c r="EZ74" s="116"/>
      <c r="FA74" s="116"/>
      <c r="FB74" s="116"/>
      <c r="FC74" s="116"/>
      <c r="FD74" s="116"/>
      <c r="FE74" s="116"/>
      <c r="FF74" s="116"/>
      <c r="FG74" s="116"/>
      <c r="FH74" s="116"/>
      <c r="FI74" s="116"/>
      <c r="FJ74" s="116"/>
      <c r="FK74" s="116"/>
      <c r="FL74" s="116"/>
      <c r="FM74" s="116"/>
      <c r="FN74" s="116"/>
      <c r="FO74" s="116"/>
      <c r="FP74" s="116"/>
      <c r="FQ74" s="116"/>
      <c r="FR74" s="116"/>
      <c r="FS74" s="116"/>
      <c r="FT74" s="116"/>
      <c r="FU74" s="116"/>
      <c r="FV74" s="116"/>
      <c r="FW74" s="116"/>
      <c r="FX74" s="116"/>
      <c r="FY74" s="116"/>
      <c r="FZ74" s="116"/>
      <c r="GA74" s="116"/>
      <c r="GB74" s="116"/>
      <c r="GC74" s="116"/>
      <c r="GD74" s="116"/>
      <c r="GE74" s="116"/>
      <c r="GF74" s="116"/>
      <c r="GG74" s="116"/>
      <c r="GH74" s="116"/>
      <c r="GI74" s="116"/>
      <c r="GJ74" s="116"/>
      <c r="GK74" s="116"/>
      <c r="GL74" s="116"/>
      <c r="GM74" s="116"/>
      <c r="GN74" s="116"/>
      <c r="GO74" s="116"/>
      <c r="GP74" s="116"/>
      <c r="GQ74" s="116"/>
      <c r="GR74" s="116"/>
      <c r="GS74" s="116"/>
      <c r="GT74" s="116"/>
      <c r="GU74" s="116"/>
      <c r="GV74" s="116"/>
      <c r="GW74" s="116"/>
      <c r="GX74" s="116"/>
      <c r="GY74" s="116"/>
      <c r="GZ74" s="116"/>
      <c r="HA74" s="116"/>
      <c r="HB74" s="116"/>
      <c r="HC74" s="116"/>
      <c r="HD74" s="116"/>
      <c r="HE74" s="116"/>
      <c r="HF74" s="116"/>
      <c r="HG74" s="116"/>
      <c r="HH74" s="116"/>
      <c r="HI74" s="116"/>
      <c r="HJ74" s="116"/>
      <c r="HK74" s="116"/>
      <c r="HL74" s="116"/>
      <c r="HM74" s="116"/>
      <c r="HN74" s="116"/>
      <c r="HO74" s="116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116"/>
      <c r="IA74" s="116"/>
      <c r="IB74" s="116"/>
      <c r="IC74" s="116"/>
      <c r="ID74" s="116"/>
      <c r="IE74" s="116"/>
      <c r="IF74" s="116"/>
      <c r="IG74" s="116"/>
      <c r="IH74" s="116"/>
      <c r="II74" s="116"/>
      <c r="IJ74" s="116"/>
      <c r="IK74" s="116"/>
      <c r="IL74" s="116"/>
      <c r="IM74" s="116"/>
      <c r="IN74" s="116"/>
      <c r="IO74" s="116"/>
      <c r="IP74" s="116"/>
      <c r="IQ74" s="116"/>
      <c r="IR74" s="116"/>
      <c r="IS74" s="116"/>
      <c r="IT74" s="116"/>
      <c r="IU74" s="116"/>
      <c r="IV74" s="116"/>
      <c r="IW74" s="116"/>
    </row>
    <row r="75" spans="2:257" x14ac:dyDescent="0.3">
      <c r="B75" s="133" t="s">
        <v>161</v>
      </c>
      <c r="C75" s="187">
        <v>0.35</v>
      </c>
      <c r="D75" s="135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  <c r="DM75" s="116"/>
      <c r="DN75" s="116"/>
      <c r="DO75" s="116"/>
      <c r="DP75" s="116"/>
      <c r="DQ75" s="116"/>
      <c r="DR75" s="116"/>
      <c r="DS75" s="116"/>
      <c r="DT75" s="116"/>
      <c r="DU75" s="116"/>
      <c r="DV75" s="116"/>
      <c r="DW75" s="116"/>
      <c r="DX75" s="116"/>
      <c r="DY75" s="116"/>
      <c r="DZ75" s="116"/>
      <c r="EA75" s="116"/>
      <c r="EB75" s="116"/>
      <c r="EC75" s="116"/>
      <c r="ED75" s="116"/>
      <c r="EE75" s="116"/>
      <c r="EF75" s="116"/>
      <c r="EG75" s="116"/>
      <c r="EH75" s="116"/>
      <c r="EI75" s="116"/>
      <c r="EJ75" s="116"/>
      <c r="EK75" s="116"/>
      <c r="EL75" s="116"/>
      <c r="EM75" s="116"/>
      <c r="EN75" s="116"/>
      <c r="EO75" s="116"/>
      <c r="EP75" s="116"/>
      <c r="EQ75" s="116"/>
      <c r="ER75" s="116"/>
      <c r="ES75" s="116"/>
      <c r="ET75" s="116"/>
      <c r="EU75" s="116"/>
      <c r="EV75" s="116"/>
      <c r="EW75" s="116"/>
      <c r="EX75" s="116"/>
      <c r="EY75" s="116"/>
      <c r="EZ75" s="116"/>
      <c r="FA75" s="116"/>
      <c r="FB75" s="116"/>
      <c r="FC75" s="116"/>
      <c r="FD75" s="116"/>
      <c r="FE75" s="116"/>
      <c r="FF75" s="116"/>
      <c r="FG75" s="116"/>
      <c r="FH75" s="116"/>
      <c r="FI75" s="116"/>
      <c r="FJ75" s="116"/>
      <c r="FK75" s="116"/>
      <c r="FL75" s="116"/>
      <c r="FM75" s="116"/>
      <c r="FN75" s="116"/>
      <c r="FO75" s="116"/>
      <c r="FP75" s="116"/>
      <c r="FQ75" s="116"/>
      <c r="FR75" s="116"/>
      <c r="FS75" s="116"/>
      <c r="FT75" s="116"/>
      <c r="FU75" s="116"/>
      <c r="FV75" s="116"/>
      <c r="FW75" s="116"/>
      <c r="FX75" s="116"/>
      <c r="FY75" s="116"/>
      <c r="FZ75" s="116"/>
      <c r="GA75" s="116"/>
      <c r="GB75" s="116"/>
      <c r="GC75" s="116"/>
      <c r="GD75" s="116"/>
      <c r="GE75" s="116"/>
      <c r="GF75" s="116"/>
      <c r="GG75" s="116"/>
      <c r="GH75" s="116"/>
      <c r="GI75" s="116"/>
      <c r="GJ75" s="116"/>
      <c r="GK75" s="116"/>
      <c r="GL75" s="116"/>
      <c r="GM75" s="116"/>
      <c r="GN75" s="116"/>
      <c r="GO75" s="116"/>
      <c r="GP75" s="116"/>
      <c r="GQ75" s="116"/>
      <c r="GR75" s="116"/>
      <c r="GS75" s="116"/>
      <c r="GT75" s="116"/>
      <c r="GU75" s="116"/>
      <c r="GV75" s="116"/>
      <c r="GW75" s="116"/>
      <c r="GX75" s="116"/>
      <c r="GY75" s="116"/>
      <c r="GZ75" s="116"/>
      <c r="HA75" s="116"/>
      <c r="HB75" s="116"/>
      <c r="HC75" s="116"/>
      <c r="HD75" s="116"/>
      <c r="HE75" s="116"/>
      <c r="HF75" s="116"/>
      <c r="HG75" s="116"/>
      <c r="HH75" s="116"/>
      <c r="HI75" s="116"/>
      <c r="HJ75" s="116"/>
      <c r="HK75" s="116"/>
      <c r="HL75" s="116"/>
      <c r="HM75" s="116"/>
      <c r="HN75" s="116"/>
      <c r="HO75" s="116"/>
      <c r="HP75" s="116"/>
      <c r="HQ75" s="116"/>
      <c r="HR75" s="116"/>
      <c r="HS75" s="116"/>
      <c r="HT75" s="116"/>
      <c r="HU75" s="116"/>
      <c r="HV75" s="116"/>
      <c r="HW75" s="116"/>
      <c r="HX75" s="116"/>
      <c r="HY75" s="116"/>
      <c r="HZ75" s="116"/>
      <c r="IA75" s="116"/>
      <c r="IB75" s="116"/>
      <c r="IC75" s="116"/>
      <c r="ID75" s="116"/>
      <c r="IE75" s="116"/>
      <c r="IF75" s="116"/>
      <c r="IG75" s="116"/>
      <c r="IH75" s="116"/>
      <c r="II75" s="116"/>
      <c r="IJ75" s="116"/>
      <c r="IK75" s="116"/>
      <c r="IL75" s="116"/>
      <c r="IM75" s="116"/>
      <c r="IN75" s="116"/>
      <c r="IO75" s="116"/>
      <c r="IP75" s="116"/>
      <c r="IQ75" s="116"/>
      <c r="IR75" s="116"/>
      <c r="IS75" s="116"/>
      <c r="IT75" s="116"/>
      <c r="IU75" s="116"/>
      <c r="IV75" s="116"/>
      <c r="IW75" s="116"/>
    </row>
    <row r="76" spans="2:257" x14ac:dyDescent="0.3">
      <c r="B76" s="115"/>
      <c r="C76" s="132"/>
      <c r="D76" s="135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116"/>
      <c r="DJ76" s="116"/>
      <c r="DK76" s="116"/>
      <c r="DL76" s="116"/>
      <c r="DM76" s="116"/>
      <c r="DN76" s="116"/>
      <c r="DO76" s="116"/>
      <c r="DP76" s="116"/>
      <c r="DQ76" s="116"/>
      <c r="DR76" s="116"/>
      <c r="DS76" s="116"/>
      <c r="DT76" s="116"/>
      <c r="DU76" s="116"/>
      <c r="DV76" s="116"/>
      <c r="DW76" s="116"/>
      <c r="DX76" s="116"/>
      <c r="DY76" s="116"/>
      <c r="DZ76" s="116"/>
      <c r="EA76" s="116"/>
      <c r="EB76" s="116"/>
      <c r="EC76" s="116"/>
      <c r="ED76" s="116"/>
      <c r="EE76" s="116"/>
      <c r="EF76" s="116"/>
      <c r="EG76" s="116"/>
      <c r="EH76" s="116"/>
      <c r="EI76" s="116"/>
      <c r="EJ76" s="116"/>
      <c r="EK76" s="116"/>
      <c r="EL76" s="116"/>
      <c r="EM76" s="116"/>
      <c r="EN76" s="116"/>
      <c r="EO76" s="116"/>
      <c r="EP76" s="116"/>
      <c r="EQ76" s="116"/>
      <c r="ER76" s="116"/>
      <c r="ES76" s="116"/>
      <c r="ET76" s="116"/>
      <c r="EU76" s="116"/>
      <c r="EV76" s="116"/>
      <c r="EW76" s="116"/>
      <c r="EX76" s="116"/>
      <c r="EY76" s="116"/>
      <c r="EZ76" s="116"/>
      <c r="FA76" s="116"/>
      <c r="FB76" s="116"/>
      <c r="FC76" s="116"/>
      <c r="FD76" s="116"/>
      <c r="FE76" s="116"/>
      <c r="FF76" s="116"/>
      <c r="FG76" s="116"/>
      <c r="FH76" s="116"/>
      <c r="FI76" s="116"/>
      <c r="FJ76" s="116"/>
      <c r="FK76" s="116"/>
      <c r="FL76" s="116"/>
      <c r="FM76" s="116"/>
      <c r="FN76" s="116"/>
      <c r="FO76" s="116"/>
      <c r="FP76" s="116"/>
      <c r="FQ76" s="116"/>
      <c r="FR76" s="116"/>
      <c r="FS76" s="116"/>
      <c r="FT76" s="116"/>
      <c r="FU76" s="116"/>
      <c r="FV76" s="116"/>
      <c r="FW76" s="116"/>
      <c r="FX76" s="116"/>
      <c r="FY76" s="116"/>
      <c r="FZ76" s="116"/>
      <c r="GA76" s="116"/>
      <c r="GB76" s="116"/>
      <c r="GC76" s="116"/>
      <c r="GD76" s="116"/>
      <c r="GE76" s="116"/>
      <c r="GF76" s="116"/>
      <c r="GG76" s="116"/>
      <c r="GH76" s="116"/>
      <c r="GI76" s="116"/>
      <c r="GJ76" s="116"/>
      <c r="GK76" s="116"/>
      <c r="GL76" s="116"/>
      <c r="GM76" s="116"/>
      <c r="GN76" s="116"/>
      <c r="GO76" s="116"/>
      <c r="GP76" s="116"/>
      <c r="GQ76" s="116"/>
      <c r="GR76" s="116"/>
      <c r="GS76" s="116"/>
      <c r="GT76" s="116"/>
      <c r="GU76" s="116"/>
      <c r="GV76" s="116"/>
      <c r="GW76" s="116"/>
      <c r="GX76" s="116"/>
      <c r="GY76" s="116"/>
      <c r="GZ76" s="116"/>
      <c r="HA76" s="116"/>
      <c r="HB76" s="116"/>
      <c r="HC76" s="116"/>
      <c r="HD76" s="116"/>
      <c r="HE76" s="116"/>
      <c r="HF76" s="116"/>
      <c r="HG76" s="116"/>
      <c r="HH76" s="116"/>
      <c r="HI76" s="116"/>
      <c r="HJ76" s="116"/>
      <c r="HK76" s="116"/>
      <c r="HL76" s="116"/>
      <c r="HM76" s="116"/>
      <c r="HN76" s="116"/>
      <c r="HO76" s="116"/>
      <c r="HP76" s="116"/>
      <c r="HQ76" s="116"/>
      <c r="HR76" s="116"/>
      <c r="HS76" s="116"/>
      <c r="HT76" s="116"/>
      <c r="HU76" s="116"/>
      <c r="HV76" s="116"/>
      <c r="HW76" s="116"/>
      <c r="HX76" s="116"/>
      <c r="HY76" s="116"/>
      <c r="HZ76" s="116"/>
      <c r="IA76" s="116"/>
      <c r="IB76" s="116"/>
      <c r="IC76" s="116"/>
      <c r="ID76" s="116"/>
      <c r="IE76" s="116"/>
      <c r="IF76" s="116"/>
      <c r="IG76" s="116"/>
      <c r="IH76" s="116"/>
      <c r="II76" s="116"/>
      <c r="IJ76" s="116"/>
      <c r="IK76" s="116"/>
      <c r="IL76" s="116"/>
      <c r="IM76" s="116"/>
      <c r="IN76" s="116"/>
      <c r="IO76" s="116"/>
      <c r="IP76" s="116"/>
      <c r="IQ76" s="116"/>
      <c r="IR76" s="116"/>
      <c r="IS76" s="116"/>
      <c r="IT76" s="116"/>
      <c r="IU76" s="116"/>
      <c r="IV76" s="116"/>
      <c r="IW76" s="116"/>
    </row>
    <row r="77" spans="2:257" x14ac:dyDescent="0.3">
      <c r="B77" s="370" t="s">
        <v>162</v>
      </c>
      <c r="C77" s="370"/>
      <c r="D77" s="135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  <c r="DM77" s="116"/>
      <c r="DN77" s="116"/>
      <c r="DO77" s="116"/>
      <c r="DP77" s="116"/>
      <c r="DQ77" s="116"/>
      <c r="DR77" s="116"/>
      <c r="DS77" s="116"/>
      <c r="DT77" s="116"/>
      <c r="DU77" s="116"/>
      <c r="DV77" s="116"/>
      <c r="DW77" s="116"/>
      <c r="DX77" s="116"/>
      <c r="DY77" s="116"/>
      <c r="DZ77" s="116"/>
      <c r="EA77" s="116"/>
      <c r="EB77" s="116"/>
      <c r="EC77" s="116"/>
      <c r="ED77" s="116"/>
      <c r="EE77" s="116"/>
      <c r="EF77" s="116"/>
      <c r="EG77" s="116"/>
      <c r="EH77" s="116"/>
      <c r="EI77" s="116"/>
      <c r="EJ77" s="116"/>
      <c r="EK77" s="116"/>
      <c r="EL77" s="116"/>
      <c r="EM77" s="116"/>
      <c r="EN77" s="116"/>
      <c r="EO77" s="116"/>
      <c r="EP77" s="116"/>
      <c r="EQ77" s="116"/>
      <c r="ER77" s="116"/>
      <c r="ES77" s="116"/>
      <c r="ET77" s="116"/>
      <c r="EU77" s="116"/>
      <c r="EV77" s="116"/>
      <c r="EW77" s="116"/>
      <c r="EX77" s="116"/>
      <c r="EY77" s="116"/>
      <c r="EZ77" s="116"/>
      <c r="FA77" s="116"/>
      <c r="FB77" s="116"/>
      <c r="FC77" s="116"/>
      <c r="FD77" s="116"/>
      <c r="FE77" s="116"/>
      <c r="FF77" s="116"/>
      <c r="FG77" s="116"/>
      <c r="FH77" s="116"/>
      <c r="FI77" s="116"/>
      <c r="FJ77" s="116"/>
      <c r="FK77" s="116"/>
      <c r="FL77" s="116"/>
      <c r="FM77" s="116"/>
      <c r="FN77" s="116"/>
      <c r="FO77" s="116"/>
      <c r="FP77" s="116"/>
      <c r="FQ77" s="116"/>
      <c r="FR77" s="116"/>
      <c r="FS77" s="116"/>
      <c r="FT77" s="116"/>
      <c r="FU77" s="116"/>
      <c r="FV77" s="116"/>
      <c r="FW77" s="116"/>
      <c r="FX77" s="116"/>
      <c r="FY77" s="116"/>
      <c r="FZ77" s="116"/>
      <c r="GA77" s="116"/>
      <c r="GB77" s="116"/>
      <c r="GC77" s="116"/>
      <c r="GD77" s="116"/>
      <c r="GE77" s="116"/>
      <c r="GF77" s="116"/>
      <c r="GG77" s="116"/>
      <c r="GH77" s="116"/>
      <c r="GI77" s="116"/>
      <c r="GJ77" s="116"/>
      <c r="GK77" s="116"/>
      <c r="GL77" s="116"/>
      <c r="GM77" s="116"/>
      <c r="GN77" s="116"/>
      <c r="GO77" s="116"/>
      <c r="GP77" s="116"/>
      <c r="GQ77" s="116"/>
      <c r="GR77" s="116"/>
      <c r="GS77" s="116"/>
      <c r="GT77" s="116"/>
      <c r="GU77" s="116"/>
      <c r="GV77" s="116"/>
      <c r="GW77" s="116"/>
      <c r="GX77" s="116"/>
      <c r="GY77" s="116"/>
      <c r="GZ77" s="116"/>
      <c r="HA77" s="116"/>
      <c r="HB77" s="116"/>
      <c r="HC77" s="116"/>
      <c r="HD77" s="116"/>
      <c r="HE77" s="116"/>
      <c r="HF77" s="116"/>
      <c r="HG77" s="116"/>
      <c r="HH77" s="116"/>
      <c r="HI77" s="116"/>
      <c r="HJ77" s="116"/>
      <c r="HK77" s="116"/>
      <c r="HL77" s="116"/>
      <c r="HM77" s="116"/>
      <c r="HN77" s="116"/>
      <c r="HO77" s="116"/>
      <c r="HP77" s="116"/>
      <c r="HQ77" s="116"/>
      <c r="HR77" s="116"/>
      <c r="HS77" s="116"/>
      <c r="HT77" s="116"/>
      <c r="HU77" s="116"/>
      <c r="HV77" s="116"/>
      <c r="HW77" s="116"/>
      <c r="HX77" s="116"/>
      <c r="HY77" s="116"/>
      <c r="HZ77" s="116"/>
      <c r="IA77" s="116"/>
      <c r="IB77" s="116"/>
      <c r="IC77" s="116"/>
      <c r="ID77" s="116"/>
      <c r="IE77" s="116"/>
      <c r="IF77" s="116"/>
      <c r="IG77" s="116"/>
      <c r="IH77" s="116"/>
      <c r="II77" s="116"/>
      <c r="IJ77" s="116"/>
      <c r="IK77" s="116"/>
      <c r="IL77" s="116"/>
      <c r="IM77" s="116"/>
      <c r="IN77" s="116"/>
      <c r="IO77" s="116"/>
      <c r="IP77" s="116"/>
      <c r="IQ77" s="116"/>
      <c r="IR77" s="116"/>
      <c r="IS77" s="116"/>
      <c r="IT77" s="116"/>
      <c r="IU77" s="116"/>
      <c r="IV77" s="116"/>
      <c r="IW77" s="116"/>
    </row>
    <row r="78" spans="2:257" x14ac:dyDescent="0.3">
      <c r="B78" s="377" t="s">
        <v>163</v>
      </c>
      <c r="C78" s="377"/>
      <c r="D78" s="135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  <c r="DM78" s="116"/>
      <c r="DN78" s="116"/>
      <c r="DO78" s="116"/>
      <c r="DP78" s="116"/>
      <c r="DQ78" s="116"/>
      <c r="DR78" s="116"/>
      <c r="DS78" s="116"/>
      <c r="DT78" s="116"/>
      <c r="DU78" s="116"/>
      <c r="DV78" s="116"/>
      <c r="DW78" s="116"/>
      <c r="DX78" s="116"/>
      <c r="DY78" s="116"/>
      <c r="DZ78" s="116"/>
      <c r="EA78" s="116"/>
      <c r="EB78" s="116"/>
      <c r="EC78" s="116"/>
      <c r="ED78" s="116"/>
      <c r="EE78" s="116"/>
      <c r="EF78" s="116"/>
      <c r="EG78" s="116"/>
      <c r="EH78" s="116"/>
      <c r="EI78" s="116"/>
      <c r="EJ78" s="116"/>
      <c r="EK78" s="116"/>
      <c r="EL78" s="116"/>
      <c r="EM78" s="116"/>
      <c r="EN78" s="116"/>
      <c r="EO78" s="116"/>
      <c r="EP78" s="116"/>
      <c r="EQ78" s="116"/>
      <c r="ER78" s="116"/>
      <c r="ES78" s="116"/>
      <c r="ET78" s="116"/>
      <c r="EU78" s="116"/>
      <c r="EV78" s="116"/>
      <c r="EW78" s="116"/>
      <c r="EX78" s="116"/>
      <c r="EY78" s="116"/>
      <c r="EZ78" s="116"/>
      <c r="FA78" s="116"/>
      <c r="FB78" s="116"/>
      <c r="FC78" s="116"/>
      <c r="FD78" s="116"/>
      <c r="FE78" s="116"/>
      <c r="FF78" s="116"/>
      <c r="FG78" s="116"/>
      <c r="FH78" s="116"/>
      <c r="FI78" s="116"/>
      <c r="FJ78" s="116"/>
      <c r="FK78" s="116"/>
      <c r="FL78" s="116"/>
      <c r="FM78" s="116"/>
      <c r="FN78" s="116"/>
      <c r="FO78" s="116"/>
      <c r="FP78" s="116"/>
      <c r="FQ78" s="116"/>
      <c r="FR78" s="116"/>
      <c r="FS78" s="116"/>
      <c r="FT78" s="116"/>
      <c r="FU78" s="116"/>
      <c r="FV78" s="116"/>
      <c r="FW78" s="116"/>
      <c r="FX78" s="116"/>
      <c r="FY78" s="116"/>
      <c r="FZ78" s="116"/>
      <c r="GA78" s="116"/>
      <c r="GB78" s="116"/>
      <c r="GC78" s="116"/>
      <c r="GD78" s="116"/>
      <c r="GE78" s="116"/>
      <c r="GF78" s="116"/>
      <c r="GG78" s="116"/>
      <c r="GH78" s="116"/>
      <c r="GI78" s="116"/>
      <c r="GJ78" s="116"/>
      <c r="GK78" s="116"/>
      <c r="GL78" s="116"/>
      <c r="GM78" s="116"/>
      <c r="GN78" s="116"/>
      <c r="GO78" s="116"/>
      <c r="GP78" s="116"/>
      <c r="GQ78" s="116"/>
      <c r="GR78" s="116"/>
      <c r="GS78" s="116"/>
      <c r="GT78" s="116"/>
      <c r="GU78" s="116"/>
      <c r="GV78" s="116"/>
      <c r="GW78" s="116"/>
      <c r="GX78" s="116"/>
      <c r="GY78" s="116"/>
      <c r="GZ78" s="116"/>
      <c r="HA78" s="116"/>
      <c r="HB78" s="116"/>
      <c r="HC78" s="116"/>
      <c r="HD78" s="116"/>
      <c r="HE78" s="116"/>
      <c r="HF78" s="116"/>
      <c r="HG78" s="116"/>
      <c r="HH78" s="116"/>
      <c r="HI78" s="116"/>
      <c r="HJ78" s="116"/>
      <c r="HK78" s="116"/>
      <c r="HL78" s="116"/>
      <c r="HM78" s="116"/>
      <c r="HN78" s="116"/>
      <c r="HO78" s="116"/>
      <c r="HP78" s="116"/>
      <c r="HQ78" s="116"/>
      <c r="HR78" s="116"/>
      <c r="HS78" s="116"/>
      <c r="HT78" s="116"/>
      <c r="HU78" s="116"/>
      <c r="HV78" s="116"/>
      <c r="HW78" s="116"/>
      <c r="HX78" s="116"/>
      <c r="HY78" s="116"/>
      <c r="HZ78" s="116"/>
      <c r="IA78" s="116"/>
      <c r="IB78" s="116"/>
      <c r="IC78" s="116"/>
      <c r="ID78" s="116"/>
      <c r="IE78" s="116"/>
      <c r="IF78" s="116"/>
      <c r="IG78" s="116"/>
      <c r="IH78" s="116"/>
      <c r="II78" s="116"/>
      <c r="IJ78" s="116"/>
      <c r="IK78" s="116"/>
      <c r="IL78" s="116"/>
      <c r="IM78" s="116"/>
      <c r="IN78" s="116"/>
      <c r="IO78" s="116"/>
      <c r="IP78" s="116"/>
      <c r="IQ78" s="116"/>
      <c r="IR78" s="116"/>
      <c r="IS78" s="116"/>
      <c r="IT78" s="116"/>
      <c r="IU78" s="116"/>
      <c r="IV78" s="116"/>
      <c r="IW78" s="116"/>
    </row>
    <row r="79" spans="2:257" x14ac:dyDescent="0.3">
      <c r="B79" s="133" t="s">
        <v>164</v>
      </c>
      <c r="C79" s="187">
        <v>0.15</v>
      </c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  <c r="DM79" s="116"/>
      <c r="DN79" s="116"/>
      <c r="DO79" s="116"/>
      <c r="DP79" s="116"/>
      <c r="DQ79" s="116"/>
      <c r="DR79" s="116"/>
      <c r="DS79" s="116"/>
      <c r="DT79" s="116"/>
      <c r="DU79" s="116"/>
      <c r="DV79" s="116"/>
      <c r="DW79" s="116"/>
      <c r="DX79" s="116"/>
      <c r="DY79" s="116"/>
      <c r="DZ79" s="116"/>
      <c r="EA79" s="116"/>
      <c r="EB79" s="116"/>
      <c r="EC79" s="116"/>
      <c r="ED79" s="116"/>
      <c r="EE79" s="116"/>
      <c r="EF79" s="116"/>
      <c r="EG79" s="116"/>
      <c r="EH79" s="116"/>
      <c r="EI79" s="116"/>
      <c r="EJ79" s="116"/>
      <c r="EK79" s="116"/>
      <c r="EL79" s="116"/>
      <c r="EM79" s="116"/>
      <c r="EN79" s="116"/>
      <c r="EO79" s="116"/>
      <c r="EP79" s="116"/>
      <c r="EQ79" s="116"/>
      <c r="ER79" s="116"/>
      <c r="ES79" s="116"/>
      <c r="ET79" s="116"/>
      <c r="EU79" s="116"/>
      <c r="EV79" s="116"/>
      <c r="EW79" s="116"/>
      <c r="EX79" s="116"/>
      <c r="EY79" s="116"/>
      <c r="EZ79" s="116"/>
      <c r="FA79" s="116"/>
      <c r="FB79" s="116"/>
      <c r="FC79" s="116"/>
      <c r="FD79" s="116"/>
      <c r="FE79" s="116"/>
      <c r="FF79" s="116"/>
      <c r="FG79" s="116"/>
      <c r="FH79" s="116"/>
      <c r="FI79" s="116"/>
      <c r="FJ79" s="116"/>
      <c r="FK79" s="116"/>
      <c r="FL79" s="116"/>
      <c r="FM79" s="116"/>
      <c r="FN79" s="116"/>
      <c r="FO79" s="116"/>
      <c r="FP79" s="116"/>
      <c r="FQ79" s="116"/>
      <c r="FR79" s="116"/>
      <c r="FS79" s="116"/>
      <c r="FT79" s="116"/>
      <c r="FU79" s="116"/>
      <c r="FV79" s="116"/>
      <c r="FW79" s="116"/>
      <c r="FX79" s="116"/>
      <c r="FY79" s="116"/>
      <c r="FZ79" s="116"/>
      <c r="GA79" s="116"/>
      <c r="GB79" s="116"/>
      <c r="GC79" s="116"/>
      <c r="GD79" s="116"/>
      <c r="GE79" s="116"/>
      <c r="GF79" s="116"/>
      <c r="GG79" s="116"/>
      <c r="GH79" s="116"/>
      <c r="GI79" s="116"/>
      <c r="GJ79" s="116"/>
      <c r="GK79" s="116"/>
      <c r="GL79" s="116"/>
      <c r="GM79" s="116"/>
      <c r="GN79" s="116"/>
      <c r="GO79" s="116"/>
      <c r="GP79" s="116"/>
      <c r="GQ79" s="116"/>
      <c r="GR79" s="116"/>
      <c r="GS79" s="116"/>
      <c r="GT79" s="116"/>
      <c r="GU79" s="116"/>
      <c r="GV79" s="116"/>
      <c r="GW79" s="116"/>
      <c r="GX79" s="116"/>
      <c r="GY79" s="116"/>
      <c r="GZ79" s="116"/>
      <c r="HA79" s="116"/>
      <c r="HB79" s="116"/>
      <c r="HC79" s="116"/>
      <c r="HD79" s="116"/>
      <c r="HE79" s="116"/>
      <c r="HF79" s="116"/>
      <c r="HG79" s="116"/>
      <c r="HH79" s="116"/>
      <c r="HI79" s="116"/>
      <c r="HJ79" s="116"/>
      <c r="HK79" s="116"/>
      <c r="HL79" s="116"/>
      <c r="HM79" s="116"/>
      <c r="HN79" s="116"/>
      <c r="HO79" s="116"/>
      <c r="HP79" s="116"/>
      <c r="HQ79" s="116"/>
      <c r="HR79" s="116"/>
      <c r="HS79" s="116"/>
      <c r="HT79" s="116"/>
      <c r="HU79" s="116"/>
      <c r="HV79" s="116"/>
      <c r="HW79" s="116"/>
      <c r="HX79" s="116"/>
      <c r="HY79" s="116"/>
      <c r="HZ79" s="116"/>
      <c r="IA79" s="116"/>
      <c r="IB79" s="116"/>
      <c r="IC79" s="116"/>
      <c r="ID79" s="116"/>
      <c r="IE79" s="116"/>
      <c r="IF79" s="116"/>
      <c r="IG79" s="116"/>
      <c r="IH79" s="116"/>
      <c r="II79" s="116"/>
      <c r="IJ79" s="116"/>
      <c r="IK79" s="116"/>
      <c r="IL79" s="116"/>
      <c r="IM79" s="116"/>
      <c r="IN79" s="116"/>
      <c r="IO79" s="116"/>
      <c r="IP79" s="116"/>
      <c r="IQ79" s="116"/>
      <c r="IR79" s="116"/>
      <c r="IS79" s="116"/>
      <c r="IT79" s="116"/>
      <c r="IU79" s="116"/>
      <c r="IV79" s="116"/>
      <c r="IW79" s="116"/>
    </row>
    <row r="80" spans="2:257" x14ac:dyDescent="0.3">
      <c r="B80" s="133" t="s">
        <v>165</v>
      </c>
      <c r="C80" s="187">
        <f>+(C31-C68)/C31</f>
        <v>0.29283643306696838</v>
      </c>
      <c r="D80" s="135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  <c r="DM80" s="116"/>
      <c r="DN80" s="116"/>
      <c r="DO80" s="116"/>
      <c r="DP80" s="116"/>
      <c r="DQ80" s="116"/>
      <c r="DR80" s="116"/>
      <c r="DS80" s="116"/>
      <c r="DT80" s="116"/>
      <c r="DU80" s="116"/>
      <c r="DV80" s="116"/>
      <c r="DW80" s="116"/>
      <c r="DX80" s="116"/>
      <c r="DY80" s="116"/>
      <c r="DZ80" s="116"/>
      <c r="EA80" s="116"/>
      <c r="EB80" s="116"/>
      <c r="EC80" s="116"/>
      <c r="ED80" s="116"/>
      <c r="EE80" s="116"/>
      <c r="EF80" s="116"/>
      <c r="EG80" s="116"/>
      <c r="EH80" s="116"/>
      <c r="EI80" s="116"/>
      <c r="EJ80" s="116"/>
      <c r="EK80" s="116"/>
      <c r="EL80" s="116"/>
      <c r="EM80" s="116"/>
      <c r="EN80" s="116"/>
      <c r="EO80" s="116"/>
      <c r="EP80" s="116"/>
      <c r="EQ80" s="116"/>
      <c r="ER80" s="116"/>
      <c r="ES80" s="116"/>
      <c r="ET80" s="116"/>
      <c r="EU80" s="116"/>
      <c r="EV80" s="116"/>
      <c r="EW80" s="116"/>
      <c r="EX80" s="116"/>
      <c r="EY80" s="116"/>
      <c r="EZ80" s="116"/>
      <c r="FA80" s="116"/>
      <c r="FB80" s="116"/>
      <c r="FC80" s="116"/>
      <c r="FD80" s="116"/>
      <c r="FE80" s="116"/>
      <c r="FF80" s="116"/>
      <c r="FG80" s="116"/>
      <c r="FH80" s="116"/>
      <c r="FI80" s="116"/>
      <c r="FJ80" s="116"/>
      <c r="FK80" s="116"/>
      <c r="FL80" s="116"/>
      <c r="FM80" s="116"/>
      <c r="FN80" s="116"/>
      <c r="FO80" s="116"/>
      <c r="FP80" s="116"/>
      <c r="FQ80" s="116"/>
      <c r="FR80" s="116"/>
      <c r="FS80" s="116"/>
      <c r="FT80" s="116"/>
      <c r="FU80" s="116"/>
      <c r="FV80" s="116"/>
      <c r="FW80" s="116"/>
      <c r="FX80" s="116"/>
      <c r="FY80" s="116"/>
      <c r="FZ80" s="116"/>
      <c r="GA80" s="116"/>
      <c r="GB80" s="116"/>
      <c r="GC80" s="116"/>
      <c r="GD80" s="116"/>
      <c r="GE80" s="116"/>
      <c r="GF80" s="116"/>
      <c r="GG80" s="116"/>
      <c r="GH80" s="116"/>
      <c r="GI80" s="116"/>
      <c r="GJ80" s="116"/>
      <c r="GK80" s="116"/>
      <c r="GL80" s="116"/>
      <c r="GM80" s="116"/>
      <c r="GN80" s="116"/>
      <c r="GO80" s="116"/>
      <c r="GP80" s="116"/>
      <c r="GQ80" s="116"/>
      <c r="GR80" s="116"/>
      <c r="GS80" s="116"/>
      <c r="GT80" s="116"/>
      <c r="GU80" s="116"/>
      <c r="GV80" s="116"/>
      <c r="GW80" s="116"/>
      <c r="GX80" s="116"/>
      <c r="GY80" s="116"/>
      <c r="GZ80" s="116"/>
      <c r="HA80" s="116"/>
      <c r="HB80" s="116"/>
      <c r="HC80" s="116"/>
      <c r="HD80" s="116"/>
      <c r="HE80" s="116"/>
      <c r="HF80" s="116"/>
      <c r="HG80" s="116"/>
      <c r="HH80" s="116"/>
      <c r="HI80" s="116"/>
      <c r="HJ80" s="116"/>
      <c r="HK80" s="116"/>
      <c r="HL80" s="116"/>
      <c r="HM80" s="116"/>
      <c r="HN80" s="116"/>
      <c r="HO80" s="116"/>
      <c r="HP80" s="116"/>
      <c r="HQ80" s="116"/>
      <c r="HR80" s="116"/>
      <c r="HS80" s="116"/>
      <c r="HT80" s="116"/>
      <c r="HU80" s="116"/>
      <c r="HV80" s="116"/>
      <c r="HW80" s="116"/>
      <c r="HX80" s="116"/>
      <c r="HY80" s="116"/>
      <c r="HZ80" s="116"/>
      <c r="IA80" s="116"/>
      <c r="IB80" s="116"/>
      <c r="IC80" s="116"/>
      <c r="ID80" s="116"/>
      <c r="IE80" s="116"/>
      <c r="IF80" s="116"/>
      <c r="IG80" s="116"/>
      <c r="IH80" s="116"/>
      <c r="II80" s="116"/>
      <c r="IJ80" s="116"/>
      <c r="IK80" s="116"/>
      <c r="IL80" s="116"/>
      <c r="IM80" s="116"/>
      <c r="IN80" s="116"/>
      <c r="IO80" s="116"/>
      <c r="IP80" s="116"/>
      <c r="IQ80" s="116"/>
      <c r="IR80" s="116"/>
      <c r="IS80" s="116"/>
      <c r="IT80" s="116"/>
      <c r="IU80" s="116"/>
      <c r="IV80" s="116"/>
      <c r="IW80" s="116"/>
    </row>
    <row r="81" spans="2:257" x14ac:dyDescent="0.3">
      <c r="B81" s="133" t="s">
        <v>166</v>
      </c>
      <c r="C81" s="187">
        <f>+C69*(1-C75)</f>
        <v>0.16178500000000001</v>
      </c>
      <c r="D81" s="135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  <c r="DM81" s="116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6"/>
      <c r="DZ81" s="116"/>
      <c r="EA81" s="116"/>
      <c r="EB81" s="116"/>
      <c r="EC81" s="116"/>
      <c r="ED81" s="116"/>
      <c r="EE81" s="116"/>
      <c r="EF81" s="116"/>
      <c r="EG81" s="116"/>
      <c r="EH81" s="116"/>
      <c r="EI81" s="116"/>
      <c r="EJ81" s="116"/>
      <c r="EK81" s="116"/>
      <c r="EL81" s="116"/>
      <c r="EM81" s="116"/>
      <c r="EN81" s="116"/>
      <c r="EO81" s="116"/>
      <c r="EP81" s="116"/>
      <c r="EQ81" s="116"/>
      <c r="ER81" s="116"/>
      <c r="ES81" s="116"/>
      <c r="ET81" s="116"/>
      <c r="EU81" s="116"/>
      <c r="EV81" s="116"/>
      <c r="EW81" s="116"/>
      <c r="EX81" s="116"/>
      <c r="EY81" s="116"/>
      <c r="EZ81" s="116"/>
      <c r="FA81" s="116"/>
      <c r="FB81" s="116"/>
      <c r="FC81" s="116"/>
      <c r="FD81" s="116"/>
      <c r="FE81" s="116"/>
      <c r="FF81" s="116"/>
      <c r="FG81" s="116"/>
      <c r="FH81" s="116"/>
      <c r="FI81" s="116"/>
      <c r="FJ81" s="116"/>
      <c r="FK81" s="116"/>
      <c r="FL81" s="116"/>
      <c r="FM81" s="116"/>
      <c r="FN81" s="116"/>
      <c r="FO81" s="116"/>
      <c r="FP81" s="116"/>
      <c r="FQ81" s="116"/>
      <c r="FR81" s="116"/>
      <c r="FS81" s="116"/>
      <c r="FT81" s="116"/>
      <c r="FU81" s="116"/>
      <c r="FV81" s="116"/>
      <c r="FW81" s="116"/>
      <c r="FX81" s="116"/>
      <c r="FY81" s="116"/>
      <c r="FZ81" s="116"/>
      <c r="GA81" s="116"/>
      <c r="GB81" s="116"/>
      <c r="GC81" s="116"/>
      <c r="GD81" s="116"/>
      <c r="GE81" s="116"/>
      <c r="GF81" s="116"/>
      <c r="GG81" s="116"/>
      <c r="GH81" s="116"/>
      <c r="GI81" s="116"/>
      <c r="GJ81" s="116"/>
      <c r="GK81" s="116"/>
      <c r="GL81" s="116"/>
      <c r="GM81" s="116"/>
      <c r="GN81" s="116"/>
      <c r="GO81" s="116"/>
      <c r="GP81" s="116"/>
      <c r="GQ81" s="116"/>
      <c r="GR81" s="116"/>
      <c r="GS81" s="116"/>
      <c r="GT81" s="116"/>
      <c r="GU81" s="116"/>
      <c r="GV81" s="116"/>
      <c r="GW81" s="116"/>
      <c r="GX81" s="116"/>
      <c r="GY81" s="116"/>
      <c r="GZ81" s="116"/>
      <c r="HA81" s="116"/>
      <c r="HB81" s="116"/>
      <c r="HC81" s="116"/>
      <c r="HD81" s="116"/>
      <c r="HE81" s="116"/>
      <c r="HF81" s="116"/>
      <c r="HG81" s="116"/>
      <c r="HH81" s="116"/>
      <c r="HI81" s="116"/>
      <c r="HJ81" s="116"/>
      <c r="HK81" s="116"/>
      <c r="HL81" s="116"/>
      <c r="HM81" s="116"/>
      <c r="HN81" s="116"/>
      <c r="HO81" s="116"/>
      <c r="HP81" s="116"/>
      <c r="HQ81" s="116"/>
      <c r="HR81" s="116"/>
      <c r="HS81" s="116"/>
      <c r="HT81" s="116"/>
      <c r="HU81" s="116"/>
      <c r="HV81" s="116"/>
      <c r="HW81" s="116"/>
      <c r="HX81" s="116"/>
      <c r="HY81" s="116"/>
      <c r="HZ81" s="116"/>
      <c r="IA81" s="116"/>
      <c r="IB81" s="116"/>
      <c r="IC81" s="116"/>
      <c r="ID81" s="116"/>
      <c r="IE81" s="116"/>
      <c r="IF81" s="116"/>
      <c r="IG81" s="116"/>
      <c r="IH81" s="116"/>
      <c r="II81" s="116"/>
      <c r="IJ81" s="116"/>
      <c r="IK81" s="116"/>
      <c r="IL81" s="116"/>
      <c r="IM81" s="116"/>
      <c r="IN81" s="116"/>
      <c r="IO81" s="116"/>
      <c r="IP81" s="116"/>
      <c r="IQ81" s="116"/>
      <c r="IR81" s="116"/>
      <c r="IS81" s="116"/>
      <c r="IT81" s="116"/>
      <c r="IU81" s="116"/>
      <c r="IV81" s="116"/>
      <c r="IW81" s="116"/>
    </row>
    <row r="82" spans="2:257" x14ac:dyDescent="0.3">
      <c r="B82" s="133" t="s">
        <v>167</v>
      </c>
      <c r="C82" s="187">
        <f>+(C80*C79)+(1-C80)*C81</f>
        <v>0.15833392263630577</v>
      </c>
      <c r="D82" s="132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  <c r="DM82" s="116"/>
      <c r="DN82" s="116"/>
      <c r="DO82" s="116"/>
      <c r="DP82" s="116"/>
      <c r="DQ82" s="116"/>
      <c r="DR82" s="116"/>
      <c r="DS82" s="116"/>
      <c r="DT82" s="116"/>
      <c r="DU82" s="116"/>
      <c r="DV82" s="116"/>
      <c r="DW82" s="116"/>
      <c r="DX82" s="116"/>
      <c r="DY82" s="116"/>
      <c r="DZ82" s="116"/>
      <c r="EA82" s="116"/>
      <c r="EB82" s="116"/>
      <c r="EC82" s="116"/>
      <c r="ED82" s="116"/>
      <c r="EE82" s="116"/>
      <c r="EF82" s="116"/>
      <c r="EG82" s="116"/>
      <c r="EH82" s="116"/>
      <c r="EI82" s="116"/>
      <c r="EJ82" s="116"/>
      <c r="EK82" s="116"/>
      <c r="EL82" s="116"/>
      <c r="EM82" s="116"/>
      <c r="EN82" s="116"/>
      <c r="EO82" s="116"/>
      <c r="EP82" s="116"/>
      <c r="EQ82" s="116"/>
      <c r="ER82" s="116"/>
      <c r="ES82" s="116"/>
      <c r="ET82" s="116"/>
      <c r="EU82" s="116"/>
      <c r="EV82" s="116"/>
      <c r="EW82" s="116"/>
      <c r="EX82" s="116"/>
      <c r="EY82" s="116"/>
      <c r="EZ82" s="116"/>
      <c r="FA82" s="116"/>
      <c r="FB82" s="116"/>
      <c r="FC82" s="116"/>
      <c r="FD82" s="116"/>
      <c r="FE82" s="116"/>
      <c r="FF82" s="116"/>
      <c r="FG82" s="116"/>
      <c r="FH82" s="116"/>
      <c r="FI82" s="116"/>
      <c r="FJ82" s="116"/>
      <c r="FK82" s="116"/>
      <c r="FL82" s="116"/>
      <c r="FM82" s="116"/>
      <c r="FN82" s="116"/>
      <c r="FO82" s="116"/>
      <c r="FP82" s="116"/>
      <c r="FQ82" s="116"/>
      <c r="FR82" s="116"/>
      <c r="FS82" s="116"/>
      <c r="FT82" s="116"/>
      <c r="FU82" s="116"/>
      <c r="FV82" s="116"/>
      <c r="FW82" s="116"/>
      <c r="FX82" s="116"/>
      <c r="FY82" s="116"/>
      <c r="FZ82" s="116"/>
      <c r="GA82" s="116"/>
      <c r="GB82" s="116"/>
      <c r="GC82" s="116"/>
      <c r="GD82" s="116"/>
      <c r="GE82" s="116"/>
      <c r="GF82" s="116"/>
      <c r="GG82" s="116"/>
      <c r="GH82" s="116"/>
      <c r="GI82" s="116"/>
      <c r="GJ82" s="116"/>
      <c r="GK82" s="116"/>
      <c r="GL82" s="116"/>
      <c r="GM82" s="116"/>
      <c r="GN82" s="116"/>
      <c r="GO82" s="116"/>
      <c r="GP82" s="116"/>
      <c r="GQ82" s="116"/>
      <c r="GR82" s="116"/>
      <c r="GS82" s="116"/>
      <c r="GT82" s="116"/>
      <c r="GU82" s="116"/>
      <c r="GV82" s="116"/>
      <c r="GW82" s="116"/>
      <c r="GX82" s="116"/>
      <c r="GY82" s="116"/>
      <c r="GZ82" s="116"/>
      <c r="HA82" s="116"/>
      <c r="HB82" s="116"/>
      <c r="HC82" s="116"/>
      <c r="HD82" s="116"/>
      <c r="HE82" s="116"/>
      <c r="HF82" s="116"/>
      <c r="HG82" s="116"/>
      <c r="HH82" s="116"/>
      <c r="HI82" s="116"/>
      <c r="HJ82" s="116"/>
      <c r="HK82" s="116"/>
      <c r="HL82" s="116"/>
      <c r="HM82" s="116"/>
      <c r="HN82" s="116"/>
      <c r="HO82" s="116"/>
      <c r="HP82" s="116"/>
      <c r="HQ82" s="116"/>
      <c r="HR82" s="116"/>
      <c r="HS82" s="116"/>
      <c r="HT82" s="116"/>
      <c r="HU82" s="116"/>
      <c r="HV82" s="116"/>
      <c r="HW82" s="116"/>
      <c r="HX82" s="116"/>
      <c r="HY82" s="116"/>
      <c r="HZ82" s="116"/>
      <c r="IA82" s="116"/>
      <c r="IB82" s="116"/>
      <c r="IC82" s="116"/>
      <c r="ID82" s="116"/>
      <c r="IE82" s="116"/>
      <c r="IF82" s="116"/>
      <c r="IG82" s="116"/>
      <c r="IH82" s="116"/>
      <c r="II82" s="116"/>
      <c r="IJ82" s="116"/>
      <c r="IK82" s="116"/>
      <c r="IL82" s="116"/>
      <c r="IM82" s="116"/>
      <c r="IN82" s="116"/>
      <c r="IO82" s="116"/>
      <c r="IP82" s="116"/>
      <c r="IQ82" s="116"/>
      <c r="IR82" s="116"/>
      <c r="IS82" s="116"/>
      <c r="IT82" s="116"/>
      <c r="IU82" s="116"/>
      <c r="IV82" s="116"/>
      <c r="IW82" s="116"/>
    </row>
    <row r="83" spans="2:257" x14ac:dyDescent="0.3">
      <c r="B83" s="115"/>
      <c r="C83" s="132"/>
      <c r="D83" s="132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  <c r="DM83" s="116"/>
      <c r="DN83" s="116"/>
      <c r="DO83" s="116"/>
      <c r="DP83" s="116"/>
      <c r="DQ83" s="116"/>
      <c r="DR83" s="116"/>
      <c r="DS83" s="116"/>
      <c r="DT83" s="116"/>
      <c r="DU83" s="116"/>
      <c r="DV83" s="116"/>
      <c r="DW83" s="116"/>
      <c r="DX83" s="116"/>
      <c r="DY83" s="116"/>
      <c r="DZ83" s="116"/>
      <c r="EA83" s="116"/>
      <c r="EB83" s="116"/>
      <c r="EC83" s="116"/>
      <c r="ED83" s="116"/>
      <c r="EE83" s="116"/>
      <c r="EF83" s="116"/>
      <c r="EG83" s="116"/>
      <c r="EH83" s="116"/>
      <c r="EI83" s="116"/>
      <c r="EJ83" s="116"/>
      <c r="EK83" s="116"/>
      <c r="EL83" s="116"/>
      <c r="EM83" s="116"/>
      <c r="EN83" s="116"/>
      <c r="EO83" s="116"/>
      <c r="EP83" s="116"/>
      <c r="EQ83" s="116"/>
      <c r="ER83" s="116"/>
      <c r="ES83" s="116"/>
      <c r="ET83" s="116"/>
      <c r="EU83" s="116"/>
      <c r="EV83" s="116"/>
      <c r="EW83" s="116"/>
      <c r="EX83" s="116"/>
      <c r="EY83" s="116"/>
      <c r="EZ83" s="116"/>
      <c r="FA83" s="116"/>
      <c r="FB83" s="116"/>
      <c r="FC83" s="116"/>
      <c r="FD83" s="116"/>
      <c r="FE83" s="116"/>
      <c r="FF83" s="116"/>
      <c r="FG83" s="116"/>
      <c r="FH83" s="116"/>
      <c r="FI83" s="116"/>
      <c r="FJ83" s="116"/>
      <c r="FK83" s="116"/>
      <c r="FL83" s="116"/>
      <c r="FM83" s="116"/>
      <c r="FN83" s="116"/>
      <c r="FO83" s="116"/>
      <c r="FP83" s="116"/>
      <c r="FQ83" s="116"/>
      <c r="FR83" s="116"/>
      <c r="FS83" s="116"/>
      <c r="FT83" s="116"/>
      <c r="FU83" s="116"/>
      <c r="FV83" s="116"/>
      <c r="FW83" s="116"/>
      <c r="FX83" s="116"/>
      <c r="FY83" s="116"/>
      <c r="FZ83" s="116"/>
      <c r="GA83" s="116"/>
      <c r="GB83" s="116"/>
      <c r="GC83" s="116"/>
      <c r="GD83" s="116"/>
      <c r="GE83" s="116"/>
      <c r="GF83" s="116"/>
      <c r="GG83" s="116"/>
      <c r="GH83" s="116"/>
      <c r="GI83" s="116"/>
      <c r="GJ83" s="116"/>
      <c r="GK83" s="116"/>
      <c r="GL83" s="116"/>
      <c r="GM83" s="116"/>
      <c r="GN83" s="116"/>
      <c r="GO83" s="116"/>
      <c r="GP83" s="116"/>
      <c r="GQ83" s="116"/>
      <c r="GR83" s="116"/>
      <c r="GS83" s="116"/>
      <c r="GT83" s="116"/>
      <c r="GU83" s="116"/>
      <c r="GV83" s="116"/>
      <c r="GW83" s="116"/>
      <c r="GX83" s="116"/>
      <c r="GY83" s="116"/>
      <c r="GZ83" s="116"/>
      <c r="HA83" s="116"/>
      <c r="HB83" s="116"/>
      <c r="HC83" s="116"/>
      <c r="HD83" s="116"/>
      <c r="HE83" s="116"/>
      <c r="HF83" s="116"/>
      <c r="HG83" s="116"/>
      <c r="HH83" s="116"/>
      <c r="HI83" s="116"/>
      <c r="HJ83" s="116"/>
      <c r="HK83" s="116"/>
      <c r="HL83" s="116"/>
      <c r="HM83" s="116"/>
      <c r="HN83" s="116"/>
      <c r="HO83" s="116"/>
      <c r="HP83" s="116"/>
      <c r="HQ83" s="116"/>
      <c r="HR83" s="116"/>
      <c r="HS83" s="116"/>
      <c r="HT83" s="116"/>
      <c r="HU83" s="116"/>
      <c r="HV83" s="116"/>
      <c r="HW83" s="116"/>
      <c r="HX83" s="116"/>
      <c r="HY83" s="116"/>
      <c r="HZ83" s="116"/>
      <c r="IA83" s="116"/>
      <c r="IB83" s="116"/>
      <c r="IC83" s="116"/>
      <c r="ID83" s="116"/>
      <c r="IE83" s="116"/>
      <c r="IF83" s="116"/>
      <c r="IG83" s="116"/>
      <c r="IH83" s="116"/>
      <c r="II83" s="116"/>
      <c r="IJ83" s="116"/>
      <c r="IK83" s="116"/>
      <c r="IL83" s="116"/>
      <c r="IM83" s="116"/>
      <c r="IN83" s="116"/>
      <c r="IO83" s="116"/>
      <c r="IP83" s="116"/>
      <c r="IQ83" s="116"/>
      <c r="IR83" s="116"/>
      <c r="IS83" s="116"/>
      <c r="IT83" s="116"/>
      <c r="IU83" s="116"/>
      <c r="IV83" s="116"/>
      <c r="IW83" s="116"/>
    </row>
    <row r="84" spans="2:257" x14ac:dyDescent="0.3">
      <c r="B84" s="373" t="s">
        <v>235</v>
      </c>
      <c r="C84" s="373"/>
      <c r="D84" s="373"/>
      <c r="E84" s="116"/>
      <c r="F84" s="373" t="s">
        <v>236</v>
      </c>
      <c r="G84" s="373"/>
      <c r="H84" s="208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  <c r="DM84" s="116"/>
      <c r="DN84" s="116"/>
      <c r="DO84" s="116"/>
      <c r="DP84" s="116"/>
      <c r="DQ84" s="116"/>
      <c r="DR84" s="116"/>
      <c r="DS84" s="116"/>
      <c r="DT84" s="116"/>
      <c r="DU84" s="116"/>
      <c r="DV84" s="116"/>
      <c r="DW84" s="116"/>
      <c r="DX84" s="116"/>
      <c r="DY84" s="116"/>
      <c r="DZ84" s="116"/>
      <c r="EA84" s="116"/>
      <c r="EB84" s="116"/>
      <c r="EC84" s="116"/>
      <c r="ED84" s="116"/>
      <c r="EE84" s="116"/>
      <c r="EF84" s="116"/>
      <c r="EG84" s="116"/>
      <c r="EH84" s="116"/>
      <c r="EI84" s="116"/>
      <c r="EJ84" s="116"/>
      <c r="EK84" s="116"/>
      <c r="EL84" s="116"/>
      <c r="EM84" s="116"/>
      <c r="EN84" s="116"/>
      <c r="EO84" s="116"/>
      <c r="EP84" s="116"/>
      <c r="EQ84" s="116"/>
      <c r="ER84" s="116"/>
      <c r="ES84" s="116"/>
      <c r="ET84" s="116"/>
      <c r="EU84" s="116"/>
      <c r="EV84" s="116"/>
      <c r="EW84" s="116"/>
      <c r="EX84" s="116"/>
      <c r="EY84" s="116"/>
      <c r="EZ84" s="116"/>
      <c r="FA84" s="116"/>
      <c r="FB84" s="116"/>
      <c r="FC84" s="116"/>
      <c r="FD84" s="116"/>
      <c r="FE84" s="116"/>
      <c r="FF84" s="116"/>
      <c r="FG84" s="116"/>
      <c r="FH84" s="116"/>
      <c r="FI84" s="116"/>
      <c r="FJ84" s="116"/>
      <c r="FK84" s="116"/>
      <c r="FL84" s="116"/>
      <c r="FM84" s="116"/>
      <c r="FN84" s="116"/>
      <c r="FO84" s="116"/>
      <c r="FP84" s="116"/>
      <c r="FQ84" s="116"/>
      <c r="FR84" s="116"/>
      <c r="FS84" s="116"/>
      <c r="FT84" s="116"/>
      <c r="FU84" s="116"/>
      <c r="FV84" s="116"/>
      <c r="FW84" s="116"/>
      <c r="FX84" s="116"/>
      <c r="FY84" s="116"/>
      <c r="FZ84" s="116"/>
      <c r="GA84" s="116"/>
      <c r="GB84" s="116"/>
      <c r="GC84" s="116"/>
      <c r="GD84" s="116"/>
      <c r="GE84" s="116"/>
      <c r="GF84" s="116"/>
      <c r="GG84" s="116"/>
      <c r="GH84" s="116"/>
      <c r="GI84" s="116"/>
      <c r="GJ84" s="116"/>
      <c r="GK84" s="116"/>
      <c r="GL84" s="116"/>
      <c r="GM84" s="116"/>
      <c r="GN84" s="116"/>
      <c r="GO84" s="116"/>
      <c r="GP84" s="116"/>
      <c r="GQ84" s="116"/>
      <c r="GR84" s="116"/>
      <c r="GS84" s="116"/>
      <c r="GT84" s="116"/>
      <c r="GU84" s="116"/>
      <c r="GV84" s="116"/>
      <c r="GW84" s="116"/>
      <c r="GX84" s="116"/>
      <c r="GY84" s="116"/>
      <c r="GZ84" s="116"/>
      <c r="HA84" s="116"/>
      <c r="HB84" s="116"/>
      <c r="HC84" s="116"/>
      <c r="HD84" s="116"/>
      <c r="HE84" s="116"/>
      <c r="HF84" s="116"/>
      <c r="HG84" s="116"/>
      <c r="HH84" s="116"/>
      <c r="HI84" s="116"/>
      <c r="HJ84" s="116"/>
      <c r="HK84" s="116"/>
      <c r="HL84" s="116"/>
      <c r="HM84" s="116"/>
      <c r="HN84" s="116"/>
      <c r="HO84" s="116"/>
      <c r="HP84" s="116"/>
      <c r="HQ84" s="116"/>
      <c r="HR84" s="116"/>
      <c r="HS84" s="116"/>
      <c r="HT84" s="116"/>
      <c r="HU84" s="116"/>
      <c r="HV84" s="116"/>
      <c r="HW84" s="116"/>
      <c r="HX84" s="116"/>
      <c r="HY84" s="116"/>
      <c r="HZ84" s="116"/>
      <c r="IA84" s="116"/>
      <c r="IB84" s="116"/>
      <c r="IC84" s="116"/>
      <c r="ID84" s="116"/>
      <c r="IE84" s="116"/>
      <c r="IF84" s="116"/>
      <c r="IG84" s="116"/>
      <c r="IH84" s="116"/>
      <c r="II84" s="116"/>
      <c r="IJ84" s="116"/>
      <c r="IK84" s="116"/>
      <c r="IL84" s="116"/>
      <c r="IM84" s="116"/>
      <c r="IN84" s="116"/>
      <c r="IO84" s="116"/>
      <c r="IP84" s="116"/>
      <c r="IQ84" s="116"/>
      <c r="IR84" s="116"/>
      <c r="IS84" s="116"/>
      <c r="IT84" s="116"/>
      <c r="IU84" s="116"/>
      <c r="IV84" s="116"/>
      <c r="IW84" s="116"/>
    </row>
    <row r="85" spans="2:257" x14ac:dyDescent="0.3">
      <c r="B85" s="373" t="s">
        <v>173</v>
      </c>
      <c r="C85" s="373"/>
      <c r="D85" s="373"/>
      <c r="E85" s="116"/>
      <c r="F85" s="373" t="s">
        <v>174</v>
      </c>
      <c r="G85" s="373"/>
      <c r="H85" s="208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  <c r="DM85" s="116"/>
      <c r="DN85" s="116"/>
      <c r="DO85" s="116"/>
      <c r="DP85" s="116"/>
      <c r="DQ85" s="116"/>
      <c r="DR85" s="116"/>
      <c r="DS85" s="116"/>
      <c r="DT85" s="116"/>
      <c r="DU85" s="116"/>
      <c r="DV85" s="116"/>
      <c r="DW85" s="116"/>
      <c r="DX85" s="116"/>
      <c r="DY85" s="116"/>
      <c r="DZ85" s="116"/>
      <c r="EA85" s="116"/>
      <c r="EB85" s="116"/>
      <c r="EC85" s="116"/>
      <c r="ED85" s="116"/>
      <c r="EE85" s="116"/>
      <c r="EF85" s="116"/>
      <c r="EG85" s="116"/>
      <c r="EH85" s="116"/>
      <c r="EI85" s="116"/>
      <c r="EJ85" s="116"/>
      <c r="EK85" s="116"/>
      <c r="EL85" s="116"/>
      <c r="EM85" s="116"/>
      <c r="EN85" s="116"/>
      <c r="EO85" s="116"/>
      <c r="EP85" s="116"/>
      <c r="EQ85" s="116"/>
      <c r="ER85" s="116"/>
      <c r="ES85" s="116"/>
      <c r="ET85" s="116"/>
      <c r="EU85" s="116"/>
      <c r="EV85" s="116"/>
      <c r="EW85" s="116"/>
      <c r="EX85" s="116"/>
      <c r="EY85" s="116"/>
      <c r="EZ85" s="116"/>
      <c r="FA85" s="116"/>
      <c r="FB85" s="116"/>
      <c r="FC85" s="116"/>
      <c r="FD85" s="116"/>
      <c r="FE85" s="116"/>
      <c r="FF85" s="116"/>
      <c r="FG85" s="116"/>
      <c r="FH85" s="116"/>
      <c r="FI85" s="116"/>
      <c r="FJ85" s="116"/>
      <c r="FK85" s="116"/>
      <c r="FL85" s="116"/>
      <c r="FM85" s="116"/>
      <c r="FN85" s="116"/>
      <c r="FO85" s="116"/>
      <c r="FP85" s="116"/>
      <c r="FQ85" s="116"/>
      <c r="FR85" s="116"/>
      <c r="FS85" s="116"/>
      <c r="FT85" s="116"/>
      <c r="FU85" s="116"/>
      <c r="FV85" s="116"/>
      <c r="FW85" s="116"/>
      <c r="FX85" s="116"/>
      <c r="FY85" s="116"/>
      <c r="FZ85" s="116"/>
      <c r="GA85" s="116"/>
      <c r="GB85" s="116"/>
      <c r="GC85" s="116"/>
      <c r="GD85" s="116"/>
      <c r="GE85" s="116"/>
      <c r="GF85" s="116"/>
      <c r="GG85" s="116"/>
      <c r="GH85" s="116"/>
      <c r="GI85" s="116"/>
      <c r="GJ85" s="116"/>
      <c r="GK85" s="116"/>
      <c r="GL85" s="116"/>
      <c r="GM85" s="116"/>
      <c r="GN85" s="116"/>
      <c r="GO85" s="116"/>
      <c r="GP85" s="116"/>
      <c r="GQ85" s="116"/>
      <c r="GR85" s="116"/>
      <c r="GS85" s="116"/>
      <c r="GT85" s="116"/>
      <c r="GU85" s="116"/>
      <c r="GV85" s="116"/>
      <c r="GW85" s="116"/>
      <c r="GX85" s="116"/>
      <c r="GY85" s="116"/>
      <c r="GZ85" s="116"/>
      <c r="HA85" s="116"/>
      <c r="HB85" s="116"/>
      <c r="HC85" s="116"/>
      <c r="HD85" s="116"/>
      <c r="HE85" s="116"/>
      <c r="HF85" s="116"/>
      <c r="HG85" s="116"/>
      <c r="HH85" s="116"/>
      <c r="HI85" s="116"/>
      <c r="HJ85" s="116"/>
      <c r="HK85" s="116"/>
      <c r="HL85" s="116"/>
      <c r="HM85" s="116"/>
      <c r="HN85" s="116"/>
      <c r="HO85" s="116"/>
      <c r="HP85" s="116"/>
      <c r="HQ85" s="116"/>
      <c r="HR85" s="116"/>
      <c r="HS85" s="116"/>
      <c r="HT85" s="116"/>
      <c r="HU85" s="116"/>
      <c r="HV85" s="116"/>
      <c r="HW85" s="116"/>
      <c r="HX85" s="116"/>
      <c r="HY85" s="116"/>
      <c r="HZ85" s="116"/>
      <c r="IA85" s="116"/>
      <c r="IB85" s="116"/>
      <c r="IC85" s="116"/>
      <c r="ID85" s="116"/>
      <c r="IE85" s="116"/>
      <c r="IF85" s="116"/>
      <c r="IG85" s="116"/>
      <c r="IH85" s="116"/>
      <c r="II85" s="116"/>
      <c r="IJ85" s="116"/>
      <c r="IK85" s="116"/>
      <c r="IL85" s="116"/>
      <c r="IM85" s="116"/>
      <c r="IN85" s="116"/>
      <c r="IO85" s="116"/>
      <c r="IP85" s="116"/>
      <c r="IQ85" s="116"/>
      <c r="IR85" s="116"/>
      <c r="IS85" s="116"/>
      <c r="IT85" s="116"/>
      <c r="IU85" s="116"/>
      <c r="IV85" s="116"/>
      <c r="IW85" s="116"/>
    </row>
    <row r="86" spans="2:257" ht="16.2" thickBot="1" x14ac:dyDescent="0.35">
      <c r="B86" s="375" t="s">
        <v>175</v>
      </c>
      <c r="C86" s="375"/>
      <c r="D86" s="375"/>
      <c r="E86" s="116"/>
      <c r="F86" s="376" t="s">
        <v>175</v>
      </c>
      <c r="G86" s="37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  <c r="DC86" s="116"/>
      <c r="DD86" s="116"/>
      <c r="DE86" s="116"/>
      <c r="DF86" s="116"/>
      <c r="DG86" s="116"/>
      <c r="DH86" s="116"/>
      <c r="DI86" s="116"/>
      <c r="DJ86" s="116"/>
      <c r="DK86" s="116"/>
      <c r="DL86" s="116"/>
      <c r="DM86" s="116"/>
      <c r="DN86" s="116"/>
      <c r="DO86" s="116"/>
      <c r="DP86" s="116"/>
      <c r="DQ86" s="116"/>
      <c r="DR86" s="116"/>
      <c r="DS86" s="116"/>
      <c r="DT86" s="116"/>
      <c r="DU86" s="116"/>
      <c r="DV86" s="116"/>
      <c r="DW86" s="116"/>
      <c r="DX86" s="116"/>
      <c r="DY86" s="116"/>
      <c r="DZ86" s="116"/>
      <c r="EA86" s="116"/>
      <c r="EB86" s="116"/>
      <c r="EC86" s="116"/>
      <c r="ED86" s="116"/>
      <c r="EE86" s="116"/>
      <c r="EF86" s="116"/>
      <c r="EG86" s="116"/>
      <c r="EH86" s="116"/>
      <c r="EI86" s="116"/>
      <c r="EJ86" s="116"/>
      <c r="EK86" s="116"/>
      <c r="EL86" s="116"/>
      <c r="EM86" s="116"/>
      <c r="EN86" s="116"/>
      <c r="EO86" s="116"/>
      <c r="EP86" s="116"/>
      <c r="EQ86" s="116"/>
      <c r="ER86" s="116"/>
      <c r="ES86" s="116"/>
      <c r="ET86" s="116"/>
      <c r="EU86" s="116"/>
      <c r="EV86" s="116"/>
      <c r="EW86" s="116"/>
      <c r="EX86" s="116"/>
      <c r="EY86" s="116"/>
      <c r="EZ86" s="116"/>
      <c r="FA86" s="116"/>
      <c r="FB86" s="116"/>
      <c r="FC86" s="116"/>
      <c r="FD86" s="116"/>
      <c r="FE86" s="116"/>
      <c r="FF86" s="116"/>
      <c r="FG86" s="116"/>
      <c r="FH86" s="116"/>
      <c r="FI86" s="116"/>
      <c r="FJ86" s="116"/>
      <c r="FK86" s="116"/>
      <c r="FL86" s="116"/>
      <c r="FM86" s="116"/>
      <c r="FN86" s="116"/>
      <c r="FO86" s="116"/>
      <c r="FP86" s="116"/>
      <c r="FQ86" s="116"/>
      <c r="FR86" s="116"/>
      <c r="FS86" s="116"/>
      <c r="FT86" s="116"/>
      <c r="FU86" s="116"/>
      <c r="FV86" s="116"/>
      <c r="FW86" s="116"/>
      <c r="FX86" s="116"/>
      <c r="FY86" s="116"/>
      <c r="FZ86" s="116"/>
      <c r="GA86" s="116"/>
      <c r="GB86" s="116"/>
      <c r="GC86" s="116"/>
      <c r="GD86" s="116"/>
      <c r="GE86" s="116"/>
      <c r="GF86" s="116"/>
      <c r="GG86" s="116"/>
      <c r="GH86" s="116"/>
      <c r="GI86" s="116"/>
      <c r="GJ86" s="116"/>
      <c r="GK86" s="116"/>
      <c r="GL86" s="116"/>
      <c r="GM86" s="116"/>
      <c r="GN86" s="116"/>
      <c r="GO86" s="116"/>
      <c r="GP86" s="116"/>
      <c r="GQ86" s="116"/>
      <c r="GR86" s="116"/>
      <c r="GS86" s="116"/>
      <c r="GT86" s="116"/>
      <c r="GU86" s="116"/>
      <c r="GV86" s="116"/>
      <c r="GW86" s="116"/>
      <c r="GX86" s="116"/>
      <c r="GY86" s="116"/>
      <c r="GZ86" s="116"/>
      <c r="HA86" s="116"/>
      <c r="HB86" s="116"/>
      <c r="HC86" s="116"/>
      <c r="HD86" s="116"/>
      <c r="HE86" s="116"/>
      <c r="HF86" s="116"/>
      <c r="HG86" s="116"/>
      <c r="HH86" s="116"/>
      <c r="HI86" s="116"/>
      <c r="HJ86" s="116"/>
      <c r="HK86" s="116"/>
      <c r="HL86" s="116"/>
      <c r="HM86" s="116"/>
      <c r="HN86" s="116"/>
      <c r="HO86" s="116"/>
      <c r="HP86" s="116"/>
      <c r="HQ86" s="116"/>
      <c r="HR86" s="116"/>
      <c r="HS86" s="116"/>
      <c r="HT86" s="116"/>
      <c r="HU86" s="116"/>
      <c r="HV86" s="116"/>
      <c r="HW86" s="116"/>
      <c r="HX86" s="116"/>
      <c r="HY86" s="116"/>
      <c r="HZ86" s="116"/>
      <c r="IA86" s="116"/>
      <c r="IB86" s="116"/>
      <c r="IC86" s="116"/>
      <c r="ID86" s="116"/>
      <c r="IE86" s="116"/>
      <c r="IF86" s="116"/>
      <c r="IG86" s="116"/>
      <c r="IH86" s="116"/>
      <c r="II86" s="116"/>
      <c r="IJ86" s="116"/>
      <c r="IK86" s="116"/>
      <c r="IL86" s="116"/>
      <c r="IM86" s="116"/>
      <c r="IN86" s="116"/>
      <c r="IO86" s="116"/>
      <c r="IP86" s="116"/>
      <c r="IQ86" s="116"/>
      <c r="IR86" s="116"/>
      <c r="IS86" s="116"/>
      <c r="IT86" s="116"/>
      <c r="IU86" s="116"/>
      <c r="IV86" s="116"/>
      <c r="IW86" s="116"/>
    </row>
    <row r="87" spans="2:257" s="227" customFormat="1" x14ac:dyDescent="0.3">
      <c r="B87" s="154" t="s">
        <v>176</v>
      </c>
      <c r="C87" s="155" t="s">
        <v>232</v>
      </c>
      <c r="D87" s="155" t="s">
        <v>233</v>
      </c>
      <c r="E87" s="228"/>
      <c r="F87" s="156" t="s">
        <v>176</v>
      </c>
      <c r="G87" s="156" t="s">
        <v>177</v>
      </c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A87" s="228"/>
      <c r="BB87" s="228"/>
      <c r="BC87" s="228"/>
      <c r="BD87" s="228"/>
      <c r="BE87" s="228"/>
      <c r="BF87" s="228"/>
      <c r="BG87" s="228"/>
      <c r="BH87" s="228"/>
      <c r="BI87" s="228"/>
      <c r="BJ87" s="228"/>
      <c r="BK87" s="228"/>
      <c r="BL87" s="228"/>
      <c r="BM87" s="228"/>
      <c r="BN87" s="228"/>
      <c r="BO87" s="228"/>
      <c r="BP87" s="228"/>
      <c r="BQ87" s="228"/>
      <c r="BR87" s="228"/>
      <c r="BS87" s="228"/>
      <c r="BT87" s="228"/>
      <c r="BU87" s="228"/>
      <c r="BV87" s="228"/>
      <c r="BW87" s="228"/>
      <c r="BX87" s="228"/>
      <c r="BY87" s="228"/>
      <c r="BZ87" s="228"/>
      <c r="CA87" s="228"/>
      <c r="CB87" s="228"/>
      <c r="CC87" s="228"/>
      <c r="CD87" s="228"/>
      <c r="CE87" s="228"/>
      <c r="CF87" s="228"/>
      <c r="CG87" s="228"/>
      <c r="CH87" s="228"/>
      <c r="CI87" s="228"/>
      <c r="CJ87" s="228"/>
      <c r="CK87" s="228"/>
      <c r="CL87" s="228"/>
      <c r="CM87" s="228"/>
      <c r="CN87" s="228"/>
      <c r="CO87" s="228"/>
      <c r="CP87" s="228"/>
      <c r="CQ87" s="228"/>
      <c r="CR87" s="228"/>
      <c r="CS87" s="228"/>
      <c r="CT87" s="228"/>
      <c r="CU87" s="228"/>
      <c r="CV87" s="228"/>
      <c r="CW87" s="228"/>
      <c r="CX87" s="228"/>
      <c r="CY87" s="228"/>
      <c r="CZ87" s="228"/>
      <c r="DA87" s="228"/>
      <c r="DB87" s="228"/>
      <c r="DC87" s="228"/>
      <c r="DD87" s="228"/>
      <c r="DE87" s="228"/>
      <c r="DF87" s="228"/>
      <c r="DG87" s="228"/>
      <c r="DH87" s="228"/>
      <c r="DI87" s="228"/>
      <c r="DJ87" s="228"/>
      <c r="DK87" s="228"/>
      <c r="DL87" s="228"/>
      <c r="DM87" s="228"/>
      <c r="DN87" s="228"/>
      <c r="DO87" s="228"/>
      <c r="DP87" s="228"/>
      <c r="DQ87" s="228"/>
      <c r="DR87" s="228"/>
      <c r="DS87" s="228"/>
      <c r="DT87" s="228"/>
      <c r="DU87" s="228"/>
      <c r="DV87" s="228"/>
      <c r="DW87" s="228"/>
      <c r="DX87" s="228"/>
      <c r="DY87" s="228"/>
      <c r="DZ87" s="228"/>
      <c r="EA87" s="228"/>
      <c r="EB87" s="228"/>
      <c r="EC87" s="228"/>
      <c r="ED87" s="228"/>
      <c r="EE87" s="228"/>
      <c r="EF87" s="228"/>
      <c r="EG87" s="228"/>
      <c r="EH87" s="228"/>
      <c r="EI87" s="228"/>
      <c r="EJ87" s="228"/>
      <c r="EK87" s="228"/>
      <c r="EL87" s="228"/>
      <c r="EM87" s="228"/>
      <c r="EN87" s="228"/>
      <c r="EO87" s="228"/>
      <c r="EP87" s="228"/>
      <c r="EQ87" s="228"/>
      <c r="ER87" s="228"/>
      <c r="ES87" s="228"/>
      <c r="ET87" s="228"/>
      <c r="EU87" s="228"/>
      <c r="EV87" s="228"/>
      <c r="EW87" s="228"/>
      <c r="EX87" s="228"/>
      <c r="EY87" s="228"/>
      <c r="EZ87" s="228"/>
      <c r="FA87" s="228"/>
      <c r="FB87" s="228"/>
      <c r="FC87" s="228"/>
      <c r="FD87" s="228"/>
      <c r="FE87" s="228"/>
      <c r="FF87" s="228"/>
      <c r="FG87" s="228"/>
      <c r="FH87" s="228"/>
      <c r="FI87" s="228"/>
      <c r="FJ87" s="228"/>
      <c r="FK87" s="228"/>
      <c r="FL87" s="228"/>
      <c r="FM87" s="228"/>
      <c r="FN87" s="228"/>
      <c r="FO87" s="228"/>
      <c r="FP87" s="228"/>
      <c r="FQ87" s="228"/>
      <c r="FR87" s="228"/>
      <c r="FS87" s="228"/>
      <c r="FT87" s="228"/>
      <c r="FU87" s="228"/>
      <c r="FV87" s="228"/>
      <c r="FW87" s="228"/>
      <c r="FX87" s="228"/>
      <c r="FY87" s="228"/>
      <c r="FZ87" s="228"/>
      <c r="GA87" s="228"/>
      <c r="GB87" s="228"/>
      <c r="GC87" s="228"/>
      <c r="GD87" s="228"/>
      <c r="GE87" s="228"/>
      <c r="GF87" s="228"/>
      <c r="GG87" s="228"/>
      <c r="GH87" s="228"/>
      <c r="GI87" s="228"/>
      <c r="GJ87" s="228"/>
      <c r="GK87" s="228"/>
      <c r="GL87" s="228"/>
      <c r="GM87" s="228"/>
      <c r="GN87" s="228"/>
      <c r="GO87" s="228"/>
      <c r="GP87" s="228"/>
      <c r="GQ87" s="228"/>
      <c r="GR87" s="228"/>
      <c r="GS87" s="228"/>
      <c r="GT87" s="228"/>
      <c r="GU87" s="228"/>
      <c r="GV87" s="228"/>
      <c r="GW87" s="228"/>
      <c r="GX87" s="228"/>
      <c r="GY87" s="228"/>
      <c r="GZ87" s="228"/>
      <c r="HA87" s="228"/>
      <c r="HB87" s="228"/>
      <c r="HC87" s="228"/>
      <c r="HD87" s="228"/>
      <c r="HE87" s="228"/>
      <c r="HF87" s="228"/>
      <c r="HG87" s="228"/>
      <c r="HH87" s="228"/>
      <c r="HI87" s="228"/>
      <c r="HJ87" s="228"/>
      <c r="HK87" s="228"/>
      <c r="HL87" s="228"/>
      <c r="HM87" s="228"/>
      <c r="HN87" s="228"/>
      <c r="HO87" s="228"/>
      <c r="HP87" s="228"/>
      <c r="HQ87" s="228"/>
      <c r="HR87" s="228"/>
      <c r="HS87" s="228"/>
      <c r="HT87" s="228"/>
      <c r="HU87" s="228"/>
      <c r="HV87" s="228"/>
      <c r="HW87" s="228"/>
      <c r="HX87" s="228"/>
      <c r="HY87" s="228"/>
      <c r="HZ87" s="228"/>
      <c r="IA87" s="228"/>
      <c r="IB87" s="228"/>
      <c r="IC87" s="228"/>
      <c r="ID87" s="228"/>
      <c r="IE87" s="228"/>
      <c r="IF87" s="228"/>
      <c r="IG87" s="228"/>
      <c r="IH87" s="228"/>
      <c r="II87" s="228"/>
      <c r="IJ87" s="228"/>
      <c r="IK87" s="228"/>
      <c r="IL87" s="228"/>
      <c r="IM87" s="228"/>
      <c r="IN87" s="228"/>
      <c r="IO87" s="228"/>
      <c r="IP87" s="228"/>
      <c r="IQ87" s="228"/>
      <c r="IR87" s="228"/>
      <c r="IS87" s="228"/>
      <c r="IT87" s="228"/>
      <c r="IU87" s="228"/>
      <c r="IV87" s="228"/>
    </row>
    <row r="88" spans="2:257" x14ac:dyDescent="0.3">
      <c r="B88" s="137">
        <v>1</v>
      </c>
      <c r="C88" s="173">
        <f>+('CALCULO COSTOS E INVERSIONES'!G9+'CALCULO COSTOS E INVERSIONES'!G10+'CALCULO COSTOS E INVERSIONES'!G12+'CALCULO COSTOS E INVERSIONES'!G14+'CALCULO COSTOS E INVERSIONES'!G15+'CALCULO COSTOS E INVERSIONES'!G16+'CALCULO COSTOS E INVERSIONES'!G18+'CALCULO COSTOS E INVERSIONES'!G19+'CALCULO COSTOS E INVERSIONES'!G22+'CALCULO COSTOS E INVERSIONES'!G23+'CALCULO COSTOS E INVERSIONES'!G24)/5</f>
        <v>3891000</v>
      </c>
      <c r="D88" s="203">
        <f>+('CALCULO COSTOS E INVERSIONES'!G11+'CALCULO COSTOS E INVERSIONES'!G13+'CALCULO COSTOS E INVERSIONES'!G17+'CALCULO COSTOS E INVERSIONES'!G20+'CALCULO COSTOS E INVERSIONES'!G21)/10</f>
        <v>1125000</v>
      </c>
      <c r="E88" s="116"/>
      <c r="F88" s="103">
        <v>1</v>
      </c>
      <c r="G88" s="199">
        <f>+(C28-25000000)/C49</f>
        <v>3000000</v>
      </c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  <c r="DM88" s="116"/>
      <c r="DN88" s="116"/>
      <c r="DO88" s="116"/>
      <c r="DP88" s="116"/>
      <c r="DQ88" s="116"/>
      <c r="DR88" s="116"/>
      <c r="DS88" s="116"/>
      <c r="DT88" s="116"/>
      <c r="DU88" s="116"/>
      <c r="DV88" s="116"/>
      <c r="DW88" s="116"/>
      <c r="DX88" s="116"/>
      <c r="DY88" s="116"/>
      <c r="DZ88" s="116"/>
      <c r="EA88" s="116"/>
      <c r="EB88" s="116"/>
      <c r="EC88" s="116"/>
      <c r="ED88" s="116"/>
      <c r="EE88" s="116"/>
      <c r="EF88" s="116"/>
      <c r="EG88" s="116"/>
      <c r="EH88" s="116"/>
      <c r="EI88" s="116"/>
      <c r="EJ88" s="116"/>
      <c r="EK88" s="116"/>
      <c r="EL88" s="116"/>
      <c r="EM88" s="116"/>
      <c r="EN88" s="116"/>
      <c r="EO88" s="116"/>
      <c r="EP88" s="116"/>
      <c r="EQ88" s="116"/>
      <c r="ER88" s="116"/>
      <c r="ES88" s="116"/>
      <c r="ET88" s="116"/>
      <c r="EU88" s="116"/>
      <c r="EV88" s="116"/>
      <c r="EW88" s="116"/>
      <c r="EX88" s="116"/>
      <c r="EY88" s="116"/>
      <c r="EZ88" s="116"/>
      <c r="FA88" s="116"/>
      <c r="FB88" s="116"/>
      <c r="FC88" s="116"/>
      <c r="FD88" s="116"/>
      <c r="FE88" s="116"/>
      <c r="FF88" s="116"/>
      <c r="FG88" s="116"/>
      <c r="FH88" s="116"/>
      <c r="FI88" s="116"/>
      <c r="FJ88" s="116"/>
      <c r="FK88" s="116"/>
      <c r="FL88" s="116"/>
      <c r="FM88" s="116"/>
      <c r="FN88" s="116"/>
      <c r="FO88" s="116"/>
      <c r="FP88" s="116"/>
      <c r="FQ88" s="116"/>
      <c r="FR88" s="116"/>
      <c r="FS88" s="116"/>
      <c r="FT88" s="116"/>
      <c r="FU88" s="116"/>
      <c r="FV88" s="116"/>
      <c r="FW88" s="116"/>
      <c r="FX88" s="116"/>
      <c r="FY88" s="116"/>
      <c r="FZ88" s="116"/>
      <c r="GA88" s="116"/>
      <c r="GB88" s="116"/>
      <c r="GC88" s="116"/>
      <c r="GD88" s="116"/>
      <c r="GE88" s="116"/>
      <c r="GF88" s="116"/>
      <c r="GG88" s="116"/>
      <c r="GH88" s="116"/>
      <c r="GI88" s="116"/>
      <c r="GJ88" s="116"/>
      <c r="GK88" s="116"/>
      <c r="GL88" s="116"/>
      <c r="GM88" s="116"/>
      <c r="GN88" s="116"/>
      <c r="GO88" s="116"/>
      <c r="GP88" s="116"/>
      <c r="GQ88" s="116"/>
      <c r="GR88" s="116"/>
      <c r="GS88" s="116"/>
      <c r="GT88" s="116"/>
      <c r="GU88" s="116"/>
      <c r="GV88" s="116"/>
      <c r="GW88" s="116"/>
      <c r="GX88" s="116"/>
      <c r="GY88" s="116"/>
      <c r="GZ88" s="116"/>
      <c r="HA88" s="116"/>
      <c r="HB88" s="116"/>
      <c r="HC88" s="116"/>
      <c r="HD88" s="116"/>
      <c r="HE88" s="116"/>
      <c r="HF88" s="116"/>
      <c r="HG88" s="116"/>
      <c r="HH88" s="116"/>
      <c r="HI88" s="116"/>
      <c r="HJ88" s="116"/>
      <c r="HK88" s="116"/>
      <c r="HL88" s="116"/>
      <c r="HM88" s="116"/>
      <c r="HN88" s="116"/>
      <c r="HO88" s="116"/>
      <c r="HP88" s="116"/>
      <c r="HQ88" s="116"/>
      <c r="HR88" s="116"/>
      <c r="HS88" s="116"/>
      <c r="HT88" s="116"/>
      <c r="HU88" s="116"/>
      <c r="HV88" s="116"/>
      <c r="HW88" s="116"/>
      <c r="HX88" s="116"/>
      <c r="HY88" s="116"/>
      <c r="HZ88" s="116"/>
      <c r="IA88" s="116"/>
      <c r="IB88" s="116"/>
      <c r="IC88" s="116"/>
      <c r="ID88" s="116"/>
      <c r="IE88" s="116"/>
      <c r="IF88" s="116"/>
      <c r="IG88" s="116"/>
      <c r="IH88" s="116"/>
      <c r="II88" s="116"/>
      <c r="IJ88" s="116"/>
      <c r="IK88" s="116"/>
      <c r="IL88" s="116"/>
      <c r="IM88" s="116"/>
      <c r="IN88" s="116"/>
      <c r="IO88" s="116"/>
      <c r="IP88" s="116"/>
      <c r="IQ88" s="116"/>
      <c r="IR88" s="116"/>
      <c r="IS88" s="116"/>
      <c r="IT88" s="116"/>
      <c r="IU88" s="116"/>
      <c r="IV88" s="116"/>
    </row>
    <row r="89" spans="2:257" x14ac:dyDescent="0.3">
      <c r="B89" s="137">
        <v>2</v>
      </c>
      <c r="C89" s="173">
        <f>+C88</f>
        <v>3891000</v>
      </c>
      <c r="D89" s="203">
        <f>+D88</f>
        <v>1125000</v>
      </c>
      <c r="E89" s="116"/>
      <c r="F89" s="103">
        <v>2</v>
      </c>
      <c r="G89" s="199">
        <f>+G88</f>
        <v>3000000</v>
      </c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  <c r="CE89" s="116"/>
      <c r="CF89" s="116"/>
      <c r="CG89" s="116"/>
      <c r="CH89" s="116"/>
      <c r="CI89" s="116"/>
      <c r="CJ89" s="116"/>
      <c r="CK89" s="116"/>
      <c r="CL89" s="116"/>
      <c r="CM89" s="116"/>
      <c r="CN89" s="116"/>
      <c r="CO89" s="116"/>
      <c r="CP89" s="116"/>
      <c r="CQ89" s="116"/>
      <c r="CR89" s="116"/>
      <c r="CS89" s="116"/>
      <c r="CT89" s="116"/>
      <c r="CU89" s="116"/>
      <c r="CV89" s="116"/>
      <c r="CW89" s="116"/>
      <c r="CX89" s="116"/>
      <c r="CY89" s="116"/>
      <c r="CZ89" s="116"/>
      <c r="DA89" s="116"/>
      <c r="DB89" s="116"/>
      <c r="DC89" s="116"/>
      <c r="DD89" s="116"/>
      <c r="DE89" s="116"/>
      <c r="DF89" s="116"/>
      <c r="DG89" s="116"/>
      <c r="DH89" s="116"/>
      <c r="DI89" s="116"/>
      <c r="DJ89" s="116"/>
      <c r="DK89" s="116"/>
      <c r="DL89" s="116"/>
      <c r="DM89" s="116"/>
      <c r="DN89" s="116"/>
      <c r="DO89" s="116"/>
      <c r="DP89" s="116"/>
      <c r="DQ89" s="116"/>
      <c r="DR89" s="116"/>
      <c r="DS89" s="116"/>
      <c r="DT89" s="116"/>
      <c r="DU89" s="116"/>
      <c r="DV89" s="116"/>
      <c r="DW89" s="116"/>
      <c r="DX89" s="116"/>
      <c r="DY89" s="116"/>
      <c r="DZ89" s="116"/>
      <c r="EA89" s="116"/>
      <c r="EB89" s="116"/>
      <c r="EC89" s="116"/>
      <c r="ED89" s="116"/>
      <c r="EE89" s="116"/>
      <c r="EF89" s="116"/>
      <c r="EG89" s="116"/>
      <c r="EH89" s="116"/>
      <c r="EI89" s="116"/>
      <c r="EJ89" s="116"/>
      <c r="EK89" s="116"/>
      <c r="EL89" s="116"/>
      <c r="EM89" s="116"/>
      <c r="EN89" s="116"/>
      <c r="EO89" s="116"/>
      <c r="EP89" s="116"/>
      <c r="EQ89" s="116"/>
      <c r="ER89" s="116"/>
      <c r="ES89" s="116"/>
      <c r="ET89" s="116"/>
      <c r="EU89" s="116"/>
      <c r="EV89" s="116"/>
      <c r="EW89" s="116"/>
      <c r="EX89" s="116"/>
      <c r="EY89" s="116"/>
      <c r="EZ89" s="116"/>
      <c r="FA89" s="116"/>
      <c r="FB89" s="116"/>
      <c r="FC89" s="116"/>
      <c r="FD89" s="116"/>
      <c r="FE89" s="116"/>
      <c r="FF89" s="116"/>
      <c r="FG89" s="116"/>
      <c r="FH89" s="116"/>
      <c r="FI89" s="116"/>
      <c r="FJ89" s="116"/>
      <c r="FK89" s="116"/>
      <c r="FL89" s="116"/>
      <c r="FM89" s="116"/>
      <c r="FN89" s="116"/>
      <c r="FO89" s="116"/>
      <c r="FP89" s="116"/>
      <c r="FQ89" s="116"/>
      <c r="FR89" s="116"/>
      <c r="FS89" s="116"/>
      <c r="FT89" s="116"/>
      <c r="FU89" s="116"/>
      <c r="FV89" s="116"/>
      <c r="FW89" s="116"/>
      <c r="FX89" s="116"/>
      <c r="FY89" s="116"/>
      <c r="FZ89" s="116"/>
      <c r="GA89" s="116"/>
      <c r="GB89" s="116"/>
      <c r="GC89" s="116"/>
      <c r="GD89" s="116"/>
      <c r="GE89" s="116"/>
      <c r="GF89" s="116"/>
      <c r="GG89" s="116"/>
      <c r="GH89" s="116"/>
      <c r="GI89" s="116"/>
      <c r="GJ89" s="116"/>
      <c r="GK89" s="116"/>
      <c r="GL89" s="116"/>
      <c r="GM89" s="116"/>
      <c r="GN89" s="116"/>
      <c r="GO89" s="116"/>
      <c r="GP89" s="116"/>
      <c r="GQ89" s="116"/>
      <c r="GR89" s="116"/>
      <c r="GS89" s="116"/>
      <c r="GT89" s="116"/>
      <c r="GU89" s="116"/>
      <c r="GV89" s="116"/>
      <c r="GW89" s="116"/>
      <c r="GX89" s="116"/>
      <c r="GY89" s="116"/>
      <c r="GZ89" s="116"/>
      <c r="HA89" s="116"/>
      <c r="HB89" s="116"/>
      <c r="HC89" s="116"/>
      <c r="HD89" s="116"/>
      <c r="HE89" s="116"/>
      <c r="HF89" s="116"/>
      <c r="HG89" s="116"/>
      <c r="HH89" s="116"/>
      <c r="HI89" s="116"/>
      <c r="HJ89" s="116"/>
      <c r="HK89" s="116"/>
      <c r="HL89" s="116"/>
      <c r="HM89" s="116"/>
      <c r="HN89" s="116"/>
      <c r="HO89" s="116"/>
      <c r="HP89" s="116"/>
      <c r="HQ89" s="116"/>
      <c r="HR89" s="116"/>
      <c r="HS89" s="116"/>
      <c r="HT89" s="116"/>
      <c r="HU89" s="116"/>
      <c r="HV89" s="116"/>
      <c r="HW89" s="116"/>
      <c r="HX89" s="116"/>
      <c r="HY89" s="116"/>
      <c r="HZ89" s="116"/>
      <c r="IA89" s="116"/>
      <c r="IB89" s="116"/>
      <c r="IC89" s="116"/>
      <c r="ID89" s="116"/>
      <c r="IE89" s="116"/>
      <c r="IF89" s="116"/>
      <c r="IG89" s="116"/>
      <c r="IH89" s="116"/>
      <c r="II89" s="116"/>
      <c r="IJ89" s="116"/>
      <c r="IK89" s="116"/>
      <c r="IL89" s="116"/>
      <c r="IM89" s="116"/>
      <c r="IN89" s="116"/>
      <c r="IO89" s="116"/>
      <c r="IP89" s="116"/>
      <c r="IQ89" s="116"/>
      <c r="IR89" s="116"/>
      <c r="IS89" s="116"/>
      <c r="IT89" s="116"/>
      <c r="IU89" s="116"/>
      <c r="IV89" s="116"/>
    </row>
    <row r="90" spans="2:257" x14ac:dyDescent="0.3">
      <c r="B90" s="137">
        <v>3</v>
      </c>
      <c r="C90" s="173">
        <f t="shared" ref="C90:C92" si="14">+C89</f>
        <v>3891000</v>
      </c>
      <c r="D90" s="203">
        <f t="shared" ref="D90:D92" si="15">+D89</f>
        <v>1125000</v>
      </c>
      <c r="E90" s="116"/>
      <c r="F90" s="103">
        <v>3</v>
      </c>
      <c r="G90" s="199">
        <f t="shared" ref="G90:G92" si="16">+G89</f>
        <v>3000000</v>
      </c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  <c r="CE90" s="116"/>
      <c r="CF90" s="116"/>
      <c r="CG90" s="116"/>
      <c r="CH90" s="116"/>
      <c r="CI90" s="116"/>
      <c r="CJ90" s="116"/>
      <c r="CK90" s="116"/>
      <c r="CL90" s="116"/>
      <c r="CM90" s="116"/>
      <c r="CN90" s="116"/>
      <c r="CO90" s="116"/>
      <c r="CP90" s="116"/>
      <c r="CQ90" s="116"/>
      <c r="CR90" s="116"/>
      <c r="CS90" s="116"/>
      <c r="CT90" s="116"/>
      <c r="CU90" s="116"/>
      <c r="CV90" s="116"/>
      <c r="CW90" s="116"/>
      <c r="CX90" s="116"/>
      <c r="CY90" s="116"/>
      <c r="CZ90" s="116"/>
      <c r="DA90" s="116"/>
      <c r="DB90" s="116"/>
      <c r="DC90" s="116"/>
      <c r="DD90" s="116"/>
      <c r="DE90" s="116"/>
      <c r="DF90" s="116"/>
      <c r="DG90" s="116"/>
      <c r="DH90" s="116"/>
      <c r="DI90" s="116"/>
      <c r="DJ90" s="116"/>
      <c r="DK90" s="116"/>
      <c r="DL90" s="116"/>
      <c r="DM90" s="116"/>
      <c r="DN90" s="116"/>
      <c r="DO90" s="116"/>
      <c r="DP90" s="116"/>
      <c r="DQ90" s="116"/>
      <c r="DR90" s="116"/>
      <c r="DS90" s="116"/>
      <c r="DT90" s="116"/>
      <c r="DU90" s="116"/>
      <c r="DV90" s="116"/>
      <c r="DW90" s="116"/>
      <c r="DX90" s="116"/>
      <c r="DY90" s="116"/>
      <c r="DZ90" s="116"/>
      <c r="EA90" s="116"/>
      <c r="EB90" s="116"/>
      <c r="EC90" s="116"/>
      <c r="ED90" s="116"/>
      <c r="EE90" s="116"/>
      <c r="EF90" s="116"/>
      <c r="EG90" s="116"/>
      <c r="EH90" s="116"/>
      <c r="EI90" s="116"/>
      <c r="EJ90" s="116"/>
      <c r="EK90" s="116"/>
      <c r="EL90" s="116"/>
      <c r="EM90" s="116"/>
      <c r="EN90" s="116"/>
      <c r="EO90" s="116"/>
      <c r="EP90" s="116"/>
      <c r="EQ90" s="116"/>
      <c r="ER90" s="116"/>
      <c r="ES90" s="116"/>
      <c r="ET90" s="116"/>
      <c r="EU90" s="116"/>
      <c r="EV90" s="116"/>
      <c r="EW90" s="116"/>
      <c r="EX90" s="116"/>
      <c r="EY90" s="116"/>
      <c r="EZ90" s="116"/>
      <c r="FA90" s="116"/>
      <c r="FB90" s="116"/>
      <c r="FC90" s="116"/>
      <c r="FD90" s="116"/>
      <c r="FE90" s="116"/>
      <c r="FF90" s="116"/>
      <c r="FG90" s="116"/>
      <c r="FH90" s="116"/>
      <c r="FI90" s="116"/>
      <c r="FJ90" s="116"/>
      <c r="FK90" s="116"/>
      <c r="FL90" s="116"/>
      <c r="FM90" s="116"/>
      <c r="FN90" s="116"/>
      <c r="FO90" s="116"/>
      <c r="FP90" s="116"/>
      <c r="FQ90" s="116"/>
      <c r="FR90" s="116"/>
      <c r="FS90" s="116"/>
      <c r="FT90" s="116"/>
      <c r="FU90" s="116"/>
      <c r="FV90" s="116"/>
      <c r="FW90" s="116"/>
      <c r="FX90" s="116"/>
      <c r="FY90" s="116"/>
      <c r="FZ90" s="116"/>
      <c r="GA90" s="116"/>
      <c r="GB90" s="116"/>
      <c r="GC90" s="116"/>
      <c r="GD90" s="116"/>
      <c r="GE90" s="116"/>
      <c r="GF90" s="116"/>
      <c r="GG90" s="116"/>
      <c r="GH90" s="116"/>
      <c r="GI90" s="116"/>
      <c r="GJ90" s="116"/>
      <c r="GK90" s="116"/>
      <c r="GL90" s="116"/>
      <c r="GM90" s="116"/>
      <c r="GN90" s="116"/>
      <c r="GO90" s="116"/>
      <c r="GP90" s="116"/>
      <c r="GQ90" s="116"/>
      <c r="GR90" s="116"/>
      <c r="GS90" s="116"/>
      <c r="GT90" s="116"/>
      <c r="GU90" s="116"/>
      <c r="GV90" s="116"/>
      <c r="GW90" s="116"/>
      <c r="GX90" s="116"/>
      <c r="GY90" s="116"/>
      <c r="GZ90" s="116"/>
      <c r="HA90" s="116"/>
      <c r="HB90" s="116"/>
      <c r="HC90" s="116"/>
      <c r="HD90" s="116"/>
      <c r="HE90" s="116"/>
      <c r="HF90" s="116"/>
      <c r="HG90" s="116"/>
      <c r="HH90" s="116"/>
      <c r="HI90" s="116"/>
      <c r="HJ90" s="116"/>
      <c r="HK90" s="116"/>
      <c r="HL90" s="116"/>
      <c r="HM90" s="116"/>
      <c r="HN90" s="116"/>
      <c r="HO90" s="116"/>
      <c r="HP90" s="116"/>
      <c r="HQ90" s="116"/>
      <c r="HR90" s="116"/>
      <c r="HS90" s="116"/>
      <c r="HT90" s="116"/>
      <c r="HU90" s="116"/>
      <c r="HV90" s="116"/>
      <c r="HW90" s="116"/>
      <c r="HX90" s="116"/>
      <c r="HY90" s="116"/>
      <c r="HZ90" s="116"/>
      <c r="IA90" s="116"/>
      <c r="IB90" s="116"/>
      <c r="IC90" s="116"/>
      <c r="ID90" s="116"/>
      <c r="IE90" s="116"/>
      <c r="IF90" s="116"/>
      <c r="IG90" s="116"/>
      <c r="IH90" s="116"/>
      <c r="II90" s="116"/>
      <c r="IJ90" s="116"/>
      <c r="IK90" s="116"/>
      <c r="IL90" s="116"/>
      <c r="IM90" s="116"/>
      <c r="IN90" s="116"/>
      <c r="IO90" s="116"/>
      <c r="IP90" s="116"/>
      <c r="IQ90" s="116"/>
      <c r="IR90" s="116"/>
      <c r="IS90" s="116"/>
      <c r="IT90" s="116"/>
      <c r="IU90" s="116"/>
      <c r="IV90" s="116"/>
    </row>
    <row r="91" spans="2:257" x14ac:dyDescent="0.3">
      <c r="B91" s="137">
        <v>4</v>
      </c>
      <c r="C91" s="173">
        <f t="shared" si="14"/>
        <v>3891000</v>
      </c>
      <c r="D91" s="203">
        <f t="shared" si="15"/>
        <v>1125000</v>
      </c>
      <c r="E91" s="116"/>
      <c r="F91" s="103">
        <v>4</v>
      </c>
      <c r="G91" s="199">
        <f t="shared" si="16"/>
        <v>3000000</v>
      </c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16"/>
      <c r="CG91" s="116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6"/>
      <c r="DA91" s="116"/>
      <c r="DB91" s="116"/>
      <c r="DC91" s="116"/>
      <c r="DD91" s="116"/>
      <c r="DE91" s="116"/>
      <c r="DF91" s="116"/>
      <c r="DG91" s="116"/>
      <c r="DH91" s="116"/>
      <c r="DI91" s="116"/>
      <c r="DJ91" s="116"/>
      <c r="DK91" s="116"/>
      <c r="DL91" s="116"/>
      <c r="DM91" s="116"/>
      <c r="DN91" s="116"/>
      <c r="DO91" s="116"/>
      <c r="DP91" s="116"/>
      <c r="DQ91" s="116"/>
      <c r="DR91" s="116"/>
      <c r="DS91" s="116"/>
      <c r="DT91" s="116"/>
      <c r="DU91" s="116"/>
      <c r="DV91" s="116"/>
      <c r="DW91" s="116"/>
      <c r="DX91" s="116"/>
      <c r="DY91" s="116"/>
      <c r="DZ91" s="116"/>
      <c r="EA91" s="116"/>
      <c r="EB91" s="116"/>
      <c r="EC91" s="116"/>
      <c r="ED91" s="116"/>
      <c r="EE91" s="116"/>
      <c r="EF91" s="116"/>
      <c r="EG91" s="116"/>
      <c r="EH91" s="116"/>
      <c r="EI91" s="116"/>
      <c r="EJ91" s="116"/>
      <c r="EK91" s="116"/>
      <c r="EL91" s="116"/>
      <c r="EM91" s="116"/>
      <c r="EN91" s="116"/>
      <c r="EO91" s="116"/>
      <c r="EP91" s="116"/>
      <c r="EQ91" s="116"/>
      <c r="ER91" s="116"/>
      <c r="ES91" s="116"/>
      <c r="ET91" s="116"/>
      <c r="EU91" s="116"/>
      <c r="EV91" s="116"/>
      <c r="EW91" s="116"/>
      <c r="EX91" s="116"/>
      <c r="EY91" s="116"/>
      <c r="EZ91" s="116"/>
      <c r="FA91" s="116"/>
      <c r="FB91" s="116"/>
      <c r="FC91" s="116"/>
      <c r="FD91" s="116"/>
      <c r="FE91" s="116"/>
      <c r="FF91" s="116"/>
      <c r="FG91" s="116"/>
      <c r="FH91" s="116"/>
      <c r="FI91" s="116"/>
      <c r="FJ91" s="116"/>
      <c r="FK91" s="116"/>
      <c r="FL91" s="116"/>
      <c r="FM91" s="116"/>
      <c r="FN91" s="116"/>
      <c r="FO91" s="116"/>
      <c r="FP91" s="116"/>
      <c r="FQ91" s="116"/>
      <c r="FR91" s="116"/>
      <c r="FS91" s="116"/>
      <c r="FT91" s="116"/>
      <c r="FU91" s="116"/>
      <c r="FV91" s="116"/>
      <c r="FW91" s="116"/>
      <c r="FX91" s="116"/>
      <c r="FY91" s="116"/>
      <c r="FZ91" s="116"/>
      <c r="GA91" s="116"/>
      <c r="GB91" s="116"/>
      <c r="GC91" s="116"/>
      <c r="GD91" s="116"/>
      <c r="GE91" s="116"/>
      <c r="GF91" s="116"/>
      <c r="GG91" s="116"/>
      <c r="GH91" s="116"/>
      <c r="GI91" s="116"/>
      <c r="GJ91" s="116"/>
      <c r="GK91" s="116"/>
      <c r="GL91" s="116"/>
      <c r="GM91" s="116"/>
      <c r="GN91" s="116"/>
      <c r="GO91" s="116"/>
      <c r="GP91" s="116"/>
      <c r="GQ91" s="116"/>
      <c r="GR91" s="116"/>
      <c r="GS91" s="116"/>
      <c r="GT91" s="116"/>
      <c r="GU91" s="116"/>
      <c r="GV91" s="116"/>
      <c r="GW91" s="116"/>
      <c r="GX91" s="116"/>
      <c r="GY91" s="116"/>
      <c r="GZ91" s="116"/>
      <c r="HA91" s="116"/>
      <c r="HB91" s="116"/>
      <c r="HC91" s="116"/>
      <c r="HD91" s="116"/>
      <c r="HE91" s="116"/>
      <c r="HF91" s="116"/>
      <c r="HG91" s="116"/>
      <c r="HH91" s="116"/>
      <c r="HI91" s="116"/>
      <c r="HJ91" s="116"/>
      <c r="HK91" s="116"/>
      <c r="HL91" s="116"/>
      <c r="HM91" s="116"/>
      <c r="HN91" s="116"/>
      <c r="HO91" s="116"/>
      <c r="HP91" s="116"/>
      <c r="HQ91" s="116"/>
      <c r="HR91" s="116"/>
      <c r="HS91" s="116"/>
      <c r="HT91" s="116"/>
      <c r="HU91" s="116"/>
      <c r="HV91" s="116"/>
      <c r="HW91" s="116"/>
      <c r="HX91" s="116"/>
      <c r="HY91" s="116"/>
      <c r="HZ91" s="116"/>
      <c r="IA91" s="116"/>
      <c r="IB91" s="116"/>
      <c r="IC91" s="116"/>
      <c r="ID91" s="116"/>
      <c r="IE91" s="116"/>
      <c r="IF91" s="116"/>
      <c r="IG91" s="116"/>
      <c r="IH91" s="116"/>
      <c r="II91" s="116"/>
      <c r="IJ91" s="116"/>
      <c r="IK91" s="116"/>
      <c r="IL91" s="116"/>
      <c r="IM91" s="116"/>
      <c r="IN91" s="116"/>
      <c r="IO91" s="116"/>
      <c r="IP91" s="116"/>
      <c r="IQ91" s="116"/>
      <c r="IR91" s="116"/>
      <c r="IS91" s="116"/>
      <c r="IT91" s="116"/>
      <c r="IU91" s="116"/>
      <c r="IV91" s="116"/>
    </row>
    <row r="92" spans="2:257" x14ac:dyDescent="0.3">
      <c r="B92" s="137">
        <v>5</v>
      </c>
      <c r="C92" s="173">
        <f t="shared" si="14"/>
        <v>3891000</v>
      </c>
      <c r="D92" s="203">
        <f t="shared" si="15"/>
        <v>1125000</v>
      </c>
      <c r="E92" s="116"/>
      <c r="F92" s="103">
        <v>5</v>
      </c>
      <c r="G92" s="199">
        <f t="shared" si="16"/>
        <v>3000000</v>
      </c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  <c r="CE92" s="116"/>
      <c r="CF92" s="116"/>
      <c r="CG92" s="116"/>
      <c r="CH92" s="116"/>
      <c r="CI92" s="116"/>
      <c r="CJ92" s="116"/>
      <c r="CK92" s="116"/>
      <c r="CL92" s="116"/>
      <c r="CM92" s="116"/>
      <c r="CN92" s="116"/>
      <c r="CO92" s="116"/>
      <c r="CP92" s="116"/>
      <c r="CQ92" s="116"/>
      <c r="CR92" s="116"/>
      <c r="CS92" s="116"/>
      <c r="CT92" s="116"/>
      <c r="CU92" s="116"/>
      <c r="CV92" s="116"/>
      <c r="CW92" s="116"/>
      <c r="CX92" s="116"/>
      <c r="CY92" s="116"/>
      <c r="CZ92" s="116"/>
      <c r="DA92" s="116"/>
      <c r="DB92" s="116"/>
      <c r="DC92" s="116"/>
      <c r="DD92" s="116"/>
      <c r="DE92" s="116"/>
      <c r="DF92" s="116"/>
      <c r="DG92" s="116"/>
      <c r="DH92" s="116"/>
      <c r="DI92" s="116"/>
      <c r="DJ92" s="116"/>
      <c r="DK92" s="116"/>
      <c r="DL92" s="116"/>
      <c r="DM92" s="116"/>
      <c r="DN92" s="116"/>
      <c r="DO92" s="116"/>
      <c r="DP92" s="116"/>
      <c r="DQ92" s="116"/>
      <c r="DR92" s="116"/>
      <c r="DS92" s="116"/>
      <c r="DT92" s="116"/>
      <c r="DU92" s="116"/>
      <c r="DV92" s="116"/>
      <c r="DW92" s="116"/>
      <c r="DX92" s="116"/>
      <c r="DY92" s="116"/>
      <c r="DZ92" s="116"/>
      <c r="EA92" s="116"/>
      <c r="EB92" s="116"/>
      <c r="EC92" s="116"/>
      <c r="ED92" s="116"/>
      <c r="EE92" s="116"/>
      <c r="EF92" s="116"/>
      <c r="EG92" s="116"/>
      <c r="EH92" s="116"/>
      <c r="EI92" s="116"/>
      <c r="EJ92" s="116"/>
      <c r="EK92" s="116"/>
      <c r="EL92" s="116"/>
      <c r="EM92" s="116"/>
      <c r="EN92" s="116"/>
      <c r="EO92" s="116"/>
      <c r="EP92" s="116"/>
      <c r="EQ92" s="116"/>
      <c r="ER92" s="116"/>
      <c r="ES92" s="116"/>
      <c r="ET92" s="116"/>
      <c r="EU92" s="116"/>
      <c r="EV92" s="116"/>
      <c r="EW92" s="116"/>
      <c r="EX92" s="116"/>
      <c r="EY92" s="116"/>
      <c r="EZ92" s="116"/>
      <c r="FA92" s="116"/>
      <c r="FB92" s="116"/>
      <c r="FC92" s="116"/>
      <c r="FD92" s="116"/>
      <c r="FE92" s="116"/>
      <c r="FF92" s="116"/>
      <c r="FG92" s="116"/>
      <c r="FH92" s="116"/>
      <c r="FI92" s="116"/>
      <c r="FJ92" s="116"/>
      <c r="FK92" s="116"/>
      <c r="FL92" s="116"/>
      <c r="FM92" s="116"/>
      <c r="FN92" s="116"/>
      <c r="FO92" s="116"/>
      <c r="FP92" s="116"/>
      <c r="FQ92" s="116"/>
      <c r="FR92" s="116"/>
      <c r="FS92" s="116"/>
      <c r="FT92" s="116"/>
      <c r="FU92" s="116"/>
      <c r="FV92" s="116"/>
      <c r="FW92" s="116"/>
      <c r="FX92" s="116"/>
      <c r="FY92" s="116"/>
      <c r="FZ92" s="116"/>
      <c r="GA92" s="116"/>
      <c r="GB92" s="116"/>
      <c r="GC92" s="116"/>
      <c r="GD92" s="116"/>
      <c r="GE92" s="116"/>
      <c r="GF92" s="116"/>
      <c r="GG92" s="116"/>
      <c r="GH92" s="116"/>
      <c r="GI92" s="116"/>
      <c r="GJ92" s="116"/>
      <c r="GK92" s="116"/>
      <c r="GL92" s="116"/>
      <c r="GM92" s="116"/>
      <c r="GN92" s="116"/>
      <c r="GO92" s="116"/>
      <c r="GP92" s="116"/>
      <c r="GQ92" s="116"/>
      <c r="GR92" s="116"/>
      <c r="GS92" s="116"/>
      <c r="GT92" s="116"/>
      <c r="GU92" s="116"/>
      <c r="GV92" s="116"/>
      <c r="GW92" s="116"/>
      <c r="GX92" s="116"/>
      <c r="GY92" s="116"/>
      <c r="GZ92" s="116"/>
      <c r="HA92" s="116"/>
      <c r="HB92" s="116"/>
      <c r="HC92" s="116"/>
      <c r="HD92" s="116"/>
      <c r="HE92" s="116"/>
      <c r="HF92" s="116"/>
      <c r="HG92" s="116"/>
      <c r="HH92" s="116"/>
      <c r="HI92" s="116"/>
      <c r="HJ92" s="116"/>
      <c r="HK92" s="116"/>
      <c r="HL92" s="116"/>
      <c r="HM92" s="116"/>
      <c r="HN92" s="116"/>
      <c r="HO92" s="116"/>
      <c r="HP92" s="116"/>
      <c r="HQ92" s="116"/>
      <c r="HR92" s="116"/>
      <c r="HS92" s="116"/>
      <c r="HT92" s="116"/>
      <c r="HU92" s="116"/>
      <c r="HV92" s="116"/>
      <c r="HW92" s="116"/>
      <c r="HX92" s="116"/>
      <c r="HY92" s="116"/>
      <c r="HZ92" s="116"/>
      <c r="IA92" s="116"/>
      <c r="IB92" s="116"/>
      <c r="IC92" s="116"/>
      <c r="ID92" s="116"/>
      <c r="IE92" s="116"/>
      <c r="IF92" s="116"/>
      <c r="IG92" s="116"/>
      <c r="IH92" s="116"/>
      <c r="II92" s="116"/>
      <c r="IJ92" s="116"/>
      <c r="IK92" s="116"/>
      <c r="IL92" s="116"/>
      <c r="IM92" s="116"/>
      <c r="IN92" s="116"/>
      <c r="IO92" s="116"/>
      <c r="IP92" s="116"/>
      <c r="IQ92" s="116"/>
      <c r="IR92" s="116"/>
      <c r="IS92" s="116"/>
      <c r="IT92" s="116"/>
      <c r="IU92" s="116"/>
      <c r="IV92" s="116"/>
    </row>
    <row r="93" spans="2:257" x14ac:dyDescent="0.3">
      <c r="B93" s="135"/>
      <c r="C93" s="204"/>
      <c r="D93" s="116"/>
      <c r="E93" s="205"/>
      <c r="F93" s="135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  <c r="DC93" s="116"/>
      <c r="DD93" s="116"/>
      <c r="DE93" s="116"/>
      <c r="DF93" s="116"/>
      <c r="DG93" s="116"/>
      <c r="DH93" s="116"/>
      <c r="DI93" s="116"/>
      <c r="DJ93" s="116"/>
      <c r="DK93" s="116"/>
      <c r="DL93" s="116"/>
      <c r="DM93" s="116"/>
      <c r="DN93" s="116"/>
      <c r="DO93" s="116"/>
      <c r="DP93" s="116"/>
      <c r="DQ93" s="116"/>
      <c r="DR93" s="116"/>
      <c r="DS93" s="116"/>
      <c r="DT93" s="116"/>
      <c r="DU93" s="116"/>
      <c r="DV93" s="116"/>
      <c r="DW93" s="116"/>
      <c r="DX93" s="116"/>
      <c r="DY93" s="116"/>
      <c r="DZ93" s="116"/>
      <c r="EA93" s="116"/>
      <c r="EB93" s="116"/>
      <c r="EC93" s="116"/>
      <c r="ED93" s="116"/>
      <c r="EE93" s="116"/>
      <c r="EF93" s="116"/>
      <c r="EG93" s="116"/>
      <c r="EH93" s="116"/>
      <c r="EI93" s="116"/>
      <c r="EJ93" s="116"/>
      <c r="EK93" s="116"/>
      <c r="EL93" s="116"/>
      <c r="EM93" s="116"/>
      <c r="EN93" s="116"/>
      <c r="EO93" s="116"/>
      <c r="EP93" s="116"/>
      <c r="EQ93" s="116"/>
      <c r="ER93" s="116"/>
      <c r="ES93" s="116"/>
      <c r="ET93" s="116"/>
      <c r="EU93" s="116"/>
      <c r="EV93" s="116"/>
      <c r="EW93" s="116"/>
      <c r="EX93" s="116"/>
      <c r="EY93" s="116"/>
      <c r="EZ93" s="116"/>
      <c r="FA93" s="116"/>
      <c r="FB93" s="116"/>
      <c r="FC93" s="116"/>
      <c r="FD93" s="116"/>
      <c r="FE93" s="116"/>
      <c r="FF93" s="116"/>
      <c r="FG93" s="116"/>
      <c r="FH93" s="116"/>
      <c r="FI93" s="116"/>
      <c r="FJ93" s="116"/>
      <c r="FK93" s="116"/>
      <c r="FL93" s="116"/>
      <c r="FM93" s="116"/>
      <c r="FN93" s="116"/>
      <c r="FO93" s="116"/>
      <c r="FP93" s="116"/>
      <c r="FQ93" s="116"/>
      <c r="FR93" s="116"/>
      <c r="FS93" s="116"/>
      <c r="FT93" s="116"/>
      <c r="FU93" s="116"/>
      <c r="FV93" s="116"/>
      <c r="FW93" s="116"/>
      <c r="FX93" s="116"/>
      <c r="FY93" s="116"/>
      <c r="FZ93" s="116"/>
      <c r="GA93" s="116"/>
      <c r="GB93" s="116"/>
      <c r="GC93" s="116"/>
      <c r="GD93" s="116"/>
      <c r="GE93" s="116"/>
      <c r="GF93" s="116"/>
      <c r="GG93" s="116"/>
      <c r="GH93" s="116"/>
      <c r="GI93" s="116"/>
      <c r="GJ93" s="116"/>
      <c r="GK93" s="116"/>
      <c r="GL93" s="116"/>
      <c r="GM93" s="116"/>
      <c r="GN93" s="116"/>
      <c r="GO93" s="116"/>
      <c r="GP93" s="116"/>
      <c r="GQ93" s="116"/>
      <c r="GR93" s="116"/>
      <c r="GS93" s="116"/>
      <c r="GT93" s="116"/>
      <c r="GU93" s="116"/>
      <c r="GV93" s="116"/>
      <c r="GW93" s="116"/>
      <c r="GX93" s="116"/>
      <c r="GY93" s="116"/>
      <c r="GZ93" s="116"/>
      <c r="HA93" s="116"/>
      <c r="HB93" s="116"/>
      <c r="HC93" s="116"/>
      <c r="HD93" s="116"/>
      <c r="HE93" s="116"/>
      <c r="HF93" s="116"/>
      <c r="HG93" s="116"/>
      <c r="HH93" s="116"/>
      <c r="HI93" s="116"/>
      <c r="HJ93" s="116"/>
      <c r="HK93" s="116"/>
      <c r="HL93" s="116"/>
      <c r="HM93" s="116"/>
      <c r="HN93" s="116"/>
      <c r="HO93" s="116"/>
      <c r="HP93" s="116"/>
      <c r="HQ93" s="116"/>
      <c r="HR93" s="116"/>
      <c r="HS93" s="116"/>
      <c r="HT93" s="116"/>
      <c r="HU93" s="116"/>
      <c r="HV93" s="116"/>
      <c r="HW93" s="116"/>
      <c r="HX93" s="116"/>
      <c r="HY93" s="116"/>
      <c r="HZ93" s="116"/>
      <c r="IA93" s="116"/>
      <c r="IB93" s="116"/>
      <c r="IC93" s="116"/>
      <c r="ID93" s="116"/>
      <c r="IE93" s="116"/>
      <c r="IF93" s="116"/>
      <c r="IG93" s="116"/>
      <c r="IH93" s="116"/>
      <c r="II93" s="116"/>
      <c r="IJ93" s="116"/>
      <c r="IK93" s="116"/>
      <c r="IL93" s="116"/>
      <c r="IM93" s="116"/>
      <c r="IN93" s="116"/>
      <c r="IO93" s="116"/>
      <c r="IP93" s="116"/>
      <c r="IQ93" s="116"/>
      <c r="IR93" s="116"/>
      <c r="IS93" s="116"/>
      <c r="IT93" s="116"/>
      <c r="IU93" s="116"/>
      <c r="IV93" s="116"/>
      <c r="IW93" s="116"/>
    </row>
    <row r="94" spans="2:257" x14ac:dyDescent="0.3">
      <c r="B94" s="373" t="s">
        <v>172</v>
      </c>
      <c r="C94" s="373"/>
      <c r="D94" s="373"/>
      <c r="E94" s="373"/>
      <c r="F94" s="373"/>
      <c r="G94" s="373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  <c r="CE94" s="116"/>
      <c r="CF94" s="116"/>
      <c r="CG94" s="11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  <c r="DC94" s="116"/>
      <c r="DD94" s="116"/>
      <c r="DE94" s="116"/>
      <c r="DF94" s="116"/>
      <c r="DG94" s="116"/>
      <c r="DH94" s="116"/>
      <c r="DI94" s="116"/>
      <c r="DJ94" s="116"/>
      <c r="DK94" s="116"/>
      <c r="DL94" s="116"/>
      <c r="DM94" s="116"/>
      <c r="DN94" s="116"/>
      <c r="DO94" s="116"/>
      <c r="DP94" s="116"/>
      <c r="DQ94" s="116"/>
      <c r="DR94" s="116"/>
      <c r="DS94" s="116"/>
      <c r="DT94" s="116"/>
      <c r="DU94" s="116"/>
      <c r="DV94" s="116"/>
      <c r="DW94" s="116"/>
      <c r="DX94" s="116"/>
      <c r="DY94" s="116"/>
      <c r="DZ94" s="116"/>
      <c r="EA94" s="116"/>
      <c r="EB94" s="116"/>
      <c r="EC94" s="116"/>
      <c r="ED94" s="116"/>
      <c r="EE94" s="116"/>
      <c r="EF94" s="116"/>
      <c r="EG94" s="116"/>
      <c r="EH94" s="116"/>
      <c r="EI94" s="116"/>
      <c r="EJ94" s="116"/>
      <c r="EK94" s="116"/>
      <c r="EL94" s="116"/>
      <c r="EM94" s="116"/>
      <c r="EN94" s="116"/>
      <c r="EO94" s="116"/>
      <c r="EP94" s="116"/>
      <c r="EQ94" s="116"/>
      <c r="ER94" s="116"/>
      <c r="ES94" s="116"/>
      <c r="ET94" s="116"/>
      <c r="EU94" s="116"/>
      <c r="EV94" s="116"/>
      <c r="EW94" s="116"/>
      <c r="EX94" s="116"/>
      <c r="EY94" s="116"/>
      <c r="EZ94" s="116"/>
      <c r="FA94" s="116"/>
      <c r="FB94" s="116"/>
      <c r="FC94" s="116"/>
      <c r="FD94" s="116"/>
      <c r="FE94" s="116"/>
      <c r="FF94" s="116"/>
      <c r="FG94" s="116"/>
      <c r="FH94" s="116"/>
      <c r="FI94" s="116"/>
      <c r="FJ94" s="116"/>
      <c r="FK94" s="116"/>
      <c r="FL94" s="116"/>
      <c r="FM94" s="116"/>
      <c r="FN94" s="116"/>
      <c r="FO94" s="116"/>
      <c r="FP94" s="116"/>
      <c r="FQ94" s="116"/>
      <c r="FR94" s="116"/>
      <c r="FS94" s="116"/>
      <c r="FT94" s="116"/>
      <c r="FU94" s="116"/>
      <c r="FV94" s="116"/>
      <c r="FW94" s="116"/>
      <c r="FX94" s="116"/>
      <c r="FY94" s="116"/>
      <c r="FZ94" s="116"/>
      <c r="GA94" s="116"/>
      <c r="GB94" s="116"/>
      <c r="GC94" s="116"/>
      <c r="GD94" s="116"/>
      <c r="GE94" s="116"/>
      <c r="GF94" s="116"/>
      <c r="GG94" s="116"/>
      <c r="GH94" s="116"/>
      <c r="GI94" s="116"/>
      <c r="GJ94" s="116"/>
      <c r="GK94" s="116"/>
      <c r="GL94" s="116"/>
      <c r="GM94" s="116"/>
      <c r="GN94" s="116"/>
      <c r="GO94" s="116"/>
      <c r="GP94" s="116"/>
      <c r="GQ94" s="116"/>
      <c r="GR94" s="116"/>
      <c r="GS94" s="116"/>
      <c r="GT94" s="116"/>
      <c r="GU94" s="116"/>
      <c r="GV94" s="116"/>
      <c r="GW94" s="116"/>
      <c r="GX94" s="116"/>
      <c r="GY94" s="116"/>
      <c r="GZ94" s="116"/>
      <c r="HA94" s="116"/>
      <c r="HB94" s="116"/>
      <c r="HC94" s="116"/>
      <c r="HD94" s="116"/>
      <c r="HE94" s="116"/>
      <c r="HF94" s="116"/>
      <c r="HG94" s="116"/>
      <c r="HH94" s="116"/>
      <c r="HI94" s="116"/>
      <c r="HJ94" s="116"/>
      <c r="HK94" s="116"/>
      <c r="HL94" s="116"/>
      <c r="HM94" s="116"/>
      <c r="HN94" s="116"/>
      <c r="HO94" s="116"/>
      <c r="HP94" s="116"/>
      <c r="HQ94" s="116"/>
      <c r="HR94" s="116"/>
      <c r="HS94" s="116"/>
      <c r="HT94" s="116"/>
      <c r="HU94" s="116"/>
      <c r="HV94" s="116"/>
      <c r="HW94" s="116"/>
      <c r="HX94" s="116"/>
      <c r="HY94" s="116"/>
      <c r="HZ94" s="116"/>
      <c r="IA94" s="116"/>
      <c r="IB94" s="116"/>
      <c r="IC94" s="116"/>
      <c r="ID94" s="116"/>
      <c r="IE94" s="116"/>
      <c r="IF94" s="116"/>
      <c r="IG94" s="116"/>
      <c r="IH94" s="116"/>
      <c r="II94" s="116"/>
      <c r="IJ94" s="116"/>
      <c r="IK94" s="116"/>
      <c r="IL94" s="116"/>
      <c r="IM94" s="116"/>
      <c r="IN94" s="116"/>
      <c r="IO94" s="116"/>
      <c r="IP94" s="116"/>
      <c r="IQ94" s="116"/>
      <c r="IR94" s="116"/>
      <c r="IS94" s="116"/>
      <c r="IT94" s="116"/>
      <c r="IU94" s="116"/>
      <c r="IV94" s="116"/>
      <c r="IW94" s="116"/>
    </row>
    <row r="95" spans="2:257" x14ac:dyDescent="0.3">
      <c r="B95" s="373" t="s">
        <v>179</v>
      </c>
      <c r="C95" s="373"/>
      <c r="D95" s="373"/>
      <c r="E95" s="373"/>
      <c r="F95" s="373"/>
      <c r="G95" s="373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  <c r="CG95" s="116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  <c r="DC95" s="116"/>
      <c r="DD95" s="116"/>
      <c r="DE95" s="116"/>
      <c r="DF95" s="116"/>
      <c r="DG95" s="116"/>
      <c r="DH95" s="116"/>
      <c r="DI95" s="116"/>
      <c r="DJ95" s="116"/>
      <c r="DK95" s="116"/>
      <c r="DL95" s="116"/>
      <c r="DM95" s="116"/>
      <c r="DN95" s="116"/>
      <c r="DO95" s="116"/>
      <c r="DP95" s="116"/>
      <c r="DQ95" s="116"/>
      <c r="DR95" s="116"/>
      <c r="DS95" s="116"/>
      <c r="DT95" s="116"/>
      <c r="DU95" s="116"/>
      <c r="DV95" s="116"/>
      <c r="DW95" s="116"/>
      <c r="DX95" s="116"/>
      <c r="DY95" s="116"/>
      <c r="DZ95" s="116"/>
      <c r="EA95" s="116"/>
      <c r="EB95" s="116"/>
      <c r="EC95" s="116"/>
      <c r="ED95" s="116"/>
      <c r="EE95" s="116"/>
      <c r="EF95" s="116"/>
      <c r="EG95" s="116"/>
      <c r="EH95" s="116"/>
      <c r="EI95" s="116"/>
      <c r="EJ95" s="116"/>
      <c r="EK95" s="116"/>
      <c r="EL95" s="116"/>
      <c r="EM95" s="116"/>
      <c r="EN95" s="116"/>
      <c r="EO95" s="116"/>
      <c r="EP95" s="116"/>
      <c r="EQ95" s="116"/>
      <c r="ER95" s="116"/>
      <c r="ES95" s="116"/>
      <c r="ET95" s="116"/>
      <c r="EU95" s="116"/>
      <c r="EV95" s="116"/>
      <c r="EW95" s="116"/>
      <c r="EX95" s="116"/>
      <c r="EY95" s="116"/>
      <c r="EZ95" s="116"/>
      <c r="FA95" s="116"/>
      <c r="FB95" s="116"/>
      <c r="FC95" s="116"/>
      <c r="FD95" s="116"/>
      <c r="FE95" s="116"/>
      <c r="FF95" s="116"/>
      <c r="FG95" s="116"/>
      <c r="FH95" s="116"/>
      <c r="FI95" s="116"/>
      <c r="FJ95" s="116"/>
      <c r="FK95" s="116"/>
      <c r="FL95" s="116"/>
      <c r="FM95" s="116"/>
      <c r="FN95" s="116"/>
      <c r="FO95" s="116"/>
      <c r="FP95" s="116"/>
      <c r="FQ95" s="116"/>
      <c r="FR95" s="116"/>
      <c r="FS95" s="116"/>
      <c r="FT95" s="116"/>
      <c r="FU95" s="116"/>
      <c r="FV95" s="116"/>
      <c r="FW95" s="116"/>
      <c r="FX95" s="116"/>
      <c r="FY95" s="116"/>
      <c r="FZ95" s="116"/>
      <c r="GA95" s="116"/>
      <c r="GB95" s="116"/>
      <c r="GC95" s="116"/>
      <c r="GD95" s="116"/>
      <c r="GE95" s="116"/>
      <c r="GF95" s="116"/>
      <c r="GG95" s="116"/>
      <c r="GH95" s="116"/>
      <c r="GI95" s="116"/>
      <c r="GJ95" s="116"/>
      <c r="GK95" s="116"/>
      <c r="GL95" s="116"/>
      <c r="GM95" s="116"/>
      <c r="GN95" s="116"/>
      <c r="GO95" s="116"/>
      <c r="GP95" s="116"/>
      <c r="GQ95" s="116"/>
      <c r="GR95" s="116"/>
      <c r="GS95" s="116"/>
      <c r="GT95" s="116"/>
      <c r="GU95" s="116"/>
      <c r="GV95" s="116"/>
      <c r="GW95" s="116"/>
      <c r="GX95" s="116"/>
      <c r="GY95" s="116"/>
      <c r="GZ95" s="116"/>
      <c r="HA95" s="116"/>
      <c r="HB95" s="116"/>
      <c r="HC95" s="116"/>
      <c r="HD95" s="116"/>
      <c r="HE95" s="116"/>
      <c r="HF95" s="116"/>
      <c r="HG95" s="116"/>
      <c r="HH95" s="116"/>
      <c r="HI95" s="116"/>
      <c r="HJ95" s="116"/>
      <c r="HK95" s="116"/>
      <c r="HL95" s="116"/>
      <c r="HM95" s="116"/>
      <c r="HN95" s="116"/>
      <c r="HO95" s="116"/>
      <c r="HP95" s="116"/>
      <c r="HQ95" s="116"/>
      <c r="HR95" s="116"/>
      <c r="HS95" s="116"/>
      <c r="HT95" s="116"/>
      <c r="HU95" s="116"/>
      <c r="HV95" s="116"/>
      <c r="HW95" s="116"/>
      <c r="HX95" s="116"/>
      <c r="HY95" s="116"/>
      <c r="HZ95" s="116"/>
      <c r="IA95" s="116"/>
      <c r="IB95" s="116"/>
      <c r="IC95" s="116"/>
      <c r="ID95" s="116"/>
      <c r="IE95" s="116"/>
      <c r="IF95" s="116"/>
      <c r="IG95" s="116"/>
      <c r="IH95" s="116"/>
      <c r="II95" s="116"/>
      <c r="IJ95" s="116"/>
      <c r="IK95" s="116"/>
      <c r="IL95" s="116"/>
      <c r="IM95" s="116"/>
      <c r="IN95" s="116"/>
      <c r="IO95" s="116"/>
      <c r="IP95" s="116"/>
      <c r="IQ95" s="116"/>
      <c r="IR95" s="116"/>
      <c r="IS95" s="116"/>
      <c r="IT95" s="116"/>
      <c r="IU95" s="116"/>
      <c r="IV95" s="116"/>
      <c r="IW95" s="116"/>
    </row>
    <row r="96" spans="2:257" x14ac:dyDescent="0.3">
      <c r="B96" s="369">
        <v>0</v>
      </c>
      <c r="C96" s="369"/>
      <c r="D96" s="369"/>
      <c r="E96" s="369"/>
      <c r="F96" s="369"/>
      <c r="G96" s="369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  <c r="BM96" s="116"/>
      <c r="BN96" s="116"/>
      <c r="BO96" s="116"/>
      <c r="BP96" s="116"/>
      <c r="BQ96" s="116"/>
      <c r="BR96" s="116"/>
      <c r="BS96" s="116"/>
      <c r="BT96" s="116"/>
      <c r="BU96" s="116"/>
      <c r="BV96" s="116"/>
      <c r="BW96" s="116"/>
      <c r="BX96" s="116"/>
      <c r="BY96" s="116"/>
      <c r="BZ96" s="116"/>
      <c r="CA96" s="116"/>
      <c r="CB96" s="116"/>
      <c r="CC96" s="116"/>
      <c r="CD96" s="116"/>
      <c r="CE96" s="116"/>
      <c r="CF96" s="116"/>
      <c r="CG96" s="116"/>
      <c r="CH96" s="116"/>
      <c r="CI96" s="116"/>
      <c r="CJ96" s="116"/>
      <c r="CK96" s="116"/>
      <c r="CL96" s="116"/>
      <c r="CM96" s="116"/>
      <c r="CN96" s="116"/>
      <c r="CO96" s="116"/>
      <c r="CP96" s="116"/>
      <c r="CQ96" s="116"/>
      <c r="CR96" s="116"/>
      <c r="CS96" s="116"/>
      <c r="CT96" s="116"/>
      <c r="CU96" s="116"/>
      <c r="CV96" s="116"/>
      <c r="CW96" s="116"/>
      <c r="CX96" s="116"/>
      <c r="CY96" s="116"/>
      <c r="CZ96" s="116"/>
      <c r="DA96" s="116"/>
      <c r="DB96" s="116"/>
      <c r="DC96" s="116"/>
      <c r="DD96" s="116"/>
      <c r="DE96" s="116"/>
      <c r="DF96" s="116"/>
      <c r="DG96" s="116"/>
      <c r="DH96" s="116"/>
      <c r="DI96" s="116"/>
      <c r="DJ96" s="116"/>
      <c r="DK96" s="116"/>
      <c r="DL96" s="116"/>
      <c r="DM96" s="116"/>
      <c r="DN96" s="116"/>
      <c r="DO96" s="116"/>
      <c r="DP96" s="116"/>
      <c r="DQ96" s="116"/>
      <c r="DR96" s="116"/>
      <c r="DS96" s="116"/>
      <c r="DT96" s="116"/>
      <c r="DU96" s="116"/>
      <c r="DV96" s="116"/>
      <c r="DW96" s="116"/>
      <c r="DX96" s="116"/>
      <c r="DY96" s="116"/>
      <c r="DZ96" s="116"/>
      <c r="EA96" s="116"/>
      <c r="EB96" s="116"/>
      <c r="EC96" s="116"/>
      <c r="ED96" s="116"/>
      <c r="EE96" s="116"/>
      <c r="EF96" s="116"/>
      <c r="EG96" s="116"/>
      <c r="EH96" s="116"/>
      <c r="EI96" s="116"/>
      <c r="EJ96" s="116"/>
      <c r="EK96" s="116"/>
      <c r="EL96" s="116"/>
      <c r="EM96" s="116"/>
      <c r="EN96" s="116"/>
      <c r="EO96" s="116"/>
      <c r="EP96" s="116"/>
      <c r="EQ96" s="116"/>
      <c r="ER96" s="116"/>
      <c r="ES96" s="116"/>
      <c r="ET96" s="116"/>
      <c r="EU96" s="116"/>
      <c r="EV96" s="116"/>
      <c r="EW96" s="116"/>
      <c r="EX96" s="116"/>
      <c r="EY96" s="116"/>
      <c r="EZ96" s="116"/>
      <c r="FA96" s="116"/>
      <c r="FB96" s="116"/>
      <c r="FC96" s="116"/>
      <c r="FD96" s="116"/>
      <c r="FE96" s="116"/>
      <c r="FF96" s="116"/>
      <c r="FG96" s="116"/>
      <c r="FH96" s="116"/>
      <c r="FI96" s="116"/>
      <c r="FJ96" s="116"/>
      <c r="FK96" s="116"/>
      <c r="FL96" s="116"/>
      <c r="FM96" s="116"/>
      <c r="FN96" s="116"/>
      <c r="FO96" s="116"/>
      <c r="FP96" s="116"/>
      <c r="FQ96" s="116"/>
      <c r="FR96" s="116"/>
      <c r="FS96" s="116"/>
      <c r="FT96" s="116"/>
      <c r="FU96" s="116"/>
      <c r="FV96" s="116"/>
      <c r="FW96" s="116"/>
      <c r="FX96" s="116"/>
      <c r="FY96" s="116"/>
      <c r="FZ96" s="116"/>
      <c r="GA96" s="116"/>
      <c r="GB96" s="116"/>
      <c r="GC96" s="116"/>
      <c r="GD96" s="116"/>
      <c r="GE96" s="116"/>
      <c r="GF96" s="116"/>
      <c r="GG96" s="116"/>
      <c r="GH96" s="116"/>
      <c r="GI96" s="116"/>
      <c r="GJ96" s="116"/>
      <c r="GK96" s="116"/>
      <c r="GL96" s="116"/>
      <c r="GM96" s="116"/>
      <c r="GN96" s="116"/>
      <c r="GO96" s="116"/>
      <c r="GP96" s="116"/>
      <c r="GQ96" s="116"/>
      <c r="GR96" s="116"/>
      <c r="GS96" s="116"/>
      <c r="GT96" s="116"/>
      <c r="GU96" s="116"/>
      <c r="GV96" s="116"/>
      <c r="GW96" s="116"/>
      <c r="GX96" s="116"/>
      <c r="GY96" s="116"/>
      <c r="GZ96" s="116"/>
      <c r="HA96" s="116"/>
      <c r="HB96" s="116"/>
      <c r="HC96" s="116"/>
      <c r="HD96" s="116"/>
      <c r="HE96" s="116"/>
      <c r="HF96" s="116"/>
      <c r="HG96" s="116"/>
      <c r="HH96" s="116"/>
      <c r="HI96" s="116"/>
      <c r="HJ96" s="116"/>
      <c r="HK96" s="116"/>
      <c r="HL96" s="116"/>
      <c r="HM96" s="116"/>
      <c r="HN96" s="116"/>
      <c r="HO96" s="116"/>
      <c r="HP96" s="116"/>
      <c r="HQ96" s="116"/>
      <c r="HR96" s="116"/>
      <c r="HS96" s="116"/>
      <c r="HT96" s="116"/>
      <c r="HU96" s="116"/>
      <c r="HV96" s="116"/>
      <c r="HW96" s="116"/>
      <c r="HX96" s="116"/>
      <c r="HY96" s="116"/>
      <c r="HZ96" s="116"/>
      <c r="IA96" s="116"/>
      <c r="IB96" s="116"/>
      <c r="IC96" s="116"/>
      <c r="ID96" s="116"/>
      <c r="IE96" s="116"/>
      <c r="IF96" s="116"/>
      <c r="IG96" s="116"/>
      <c r="IH96" s="116"/>
      <c r="II96" s="116"/>
      <c r="IJ96" s="116"/>
      <c r="IK96" s="116"/>
      <c r="IL96" s="116"/>
      <c r="IM96" s="116"/>
      <c r="IN96" s="116"/>
      <c r="IO96" s="116"/>
      <c r="IP96" s="116"/>
      <c r="IQ96" s="116"/>
      <c r="IR96" s="116"/>
      <c r="IS96" s="116"/>
      <c r="IT96" s="116"/>
      <c r="IU96" s="116"/>
      <c r="IV96" s="116"/>
      <c r="IW96" s="116"/>
    </row>
    <row r="97" spans="2:257" x14ac:dyDescent="0.3">
      <c r="B97" s="157" t="s">
        <v>168</v>
      </c>
      <c r="C97" s="157">
        <v>0</v>
      </c>
      <c r="D97" s="157">
        <v>1</v>
      </c>
      <c r="E97" s="157">
        <v>2</v>
      </c>
      <c r="F97" s="157">
        <v>3</v>
      </c>
      <c r="G97" s="157">
        <v>4</v>
      </c>
      <c r="H97" s="157">
        <v>5</v>
      </c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  <c r="DM97" s="116"/>
      <c r="DN97" s="116"/>
      <c r="DO97" s="116"/>
      <c r="DP97" s="116"/>
      <c r="DQ97" s="116"/>
      <c r="DR97" s="116"/>
      <c r="DS97" s="116"/>
      <c r="DT97" s="116"/>
      <c r="DU97" s="116"/>
      <c r="DV97" s="116"/>
      <c r="DW97" s="116"/>
      <c r="DX97" s="116"/>
      <c r="DY97" s="116"/>
      <c r="DZ97" s="116"/>
      <c r="EA97" s="116"/>
      <c r="EB97" s="116"/>
      <c r="EC97" s="116"/>
      <c r="ED97" s="116"/>
      <c r="EE97" s="116"/>
      <c r="EF97" s="116"/>
      <c r="EG97" s="116"/>
      <c r="EH97" s="116"/>
      <c r="EI97" s="116"/>
      <c r="EJ97" s="116"/>
      <c r="EK97" s="116"/>
      <c r="EL97" s="116"/>
      <c r="EM97" s="116"/>
      <c r="EN97" s="116"/>
      <c r="EO97" s="116"/>
      <c r="EP97" s="116"/>
      <c r="EQ97" s="116"/>
      <c r="ER97" s="116"/>
      <c r="ES97" s="116"/>
      <c r="ET97" s="116"/>
      <c r="EU97" s="116"/>
      <c r="EV97" s="116"/>
      <c r="EW97" s="116"/>
      <c r="EX97" s="116"/>
      <c r="EY97" s="116"/>
      <c r="EZ97" s="116"/>
      <c r="FA97" s="116"/>
      <c r="FB97" s="116"/>
      <c r="FC97" s="116"/>
      <c r="FD97" s="116"/>
      <c r="FE97" s="116"/>
      <c r="FF97" s="116"/>
      <c r="FG97" s="116"/>
      <c r="FH97" s="116"/>
      <c r="FI97" s="116"/>
      <c r="FJ97" s="116"/>
      <c r="FK97" s="116"/>
      <c r="FL97" s="116"/>
      <c r="FM97" s="116"/>
      <c r="FN97" s="116"/>
      <c r="FO97" s="116"/>
      <c r="FP97" s="116"/>
      <c r="FQ97" s="116"/>
      <c r="FR97" s="116"/>
      <c r="FS97" s="116"/>
      <c r="FT97" s="116"/>
      <c r="FU97" s="116"/>
      <c r="FV97" s="116"/>
      <c r="FW97" s="116"/>
      <c r="FX97" s="116"/>
      <c r="FY97" s="116"/>
      <c r="FZ97" s="116"/>
      <c r="GA97" s="116"/>
      <c r="GB97" s="116"/>
      <c r="GC97" s="116"/>
      <c r="GD97" s="116"/>
      <c r="GE97" s="116"/>
      <c r="GF97" s="116"/>
      <c r="GG97" s="116"/>
      <c r="GH97" s="116"/>
      <c r="GI97" s="116"/>
      <c r="GJ97" s="116"/>
      <c r="GK97" s="116"/>
      <c r="GL97" s="116"/>
      <c r="GM97" s="116"/>
      <c r="GN97" s="116"/>
      <c r="GO97" s="116"/>
      <c r="GP97" s="116"/>
      <c r="GQ97" s="116"/>
      <c r="GR97" s="116"/>
      <c r="GS97" s="116"/>
      <c r="GT97" s="116"/>
      <c r="GU97" s="116"/>
      <c r="GV97" s="116"/>
      <c r="GW97" s="116"/>
      <c r="GX97" s="116"/>
      <c r="GY97" s="116"/>
      <c r="GZ97" s="116"/>
      <c r="HA97" s="116"/>
      <c r="HB97" s="116"/>
      <c r="HC97" s="116"/>
      <c r="HD97" s="116"/>
      <c r="HE97" s="116"/>
      <c r="HF97" s="116"/>
      <c r="HG97" s="116"/>
      <c r="HH97" s="116"/>
      <c r="HI97" s="116"/>
      <c r="HJ97" s="116"/>
      <c r="HK97" s="116"/>
      <c r="HL97" s="116"/>
      <c r="HM97" s="116"/>
      <c r="HN97" s="116"/>
      <c r="HO97" s="116"/>
      <c r="HP97" s="116"/>
      <c r="HQ97" s="116"/>
      <c r="HR97" s="116"/>
      <c r="HS97" s="116"/>
      <c r="HT97" s="116"/>
      <c r="HU97" s="116"/>
      <c r="HV97" s="116"/>
      <c r="HW97" s="116"/>
      <c r="HX97" s="116"/>
      <c r="HY97" s="116"/>
      <c r="HZ97" s="116"/>
      <c r="IA97" s="116"/>
      <c r="IB97" s="116"/>
      <c r="IC97" s="116"/>
      <c r="ID97" s="116"/>
      <c r="IE97" s="116"/>
      <c r="IF97" s="116"/>
      <c r="IG97" s="116"/>
      <c r="IH97" s="116"/>
      <c r="II97" s="116"/>
      <c r="IJ97" s="116"/>
      <c r="IK97" s="116"/>
      <c r="IL97" s="116"/>
      <c r="IM97" s="116"/>
      <c r="IN97" s="116"/>
      <c r="IO97" s="116"/>
      <c r="IP97" s="116"/>
      <c r="IQ97" s="116"/>
      <c r="IR97" s="116"/>
      <c r="IS97" s="116"/>
      <c r="IT97" s="116"/>
      <c r="IU97" s="116"/>
      <c r="IV97" s="116"/>
      <c r="IW97" s="116"/>
    </row>
    <row r="98" spans="2:257" x14ac:dyDescent="0.3">
      <c r="B98" s="140" t="s">
        <v>180</v>
      </c>
      <c r="C98" s="229">
        <v>0</v>
      </c>
      <c r="D98" s="229">
        <f>+D22</f>
        <v>115219911861.59999</v>
      </c>
      <c r="E98" s="229">
        <f>+E22</f>
        <v>127971789191.94868</v>
      </c>
      <c r="F98" s="229">
        <f>+F22</f>
        <v>177776294011.81506</v>
      </c>
      <c r="G98" s="229">
        <f>+G22</f>
        <v>197657973082.22723</v>
      </c>
      <c r="H98" s="229">
        <f>+H22</f>
        <v>219688331291.53909</v>
      </c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16"/>
      <c r="BD98" s="116"/>
      <c r="BE98" s="116"/>
      <c r="BF98" s="116"/>
      <c r="BG98" s="116"/>
      <c r="BH98" s="116"/>
      <c r="BI98" s="116"/>
      <c r="BJ98" s="116"/>
      <c r="BK98" s="116"/>
      <c r="BL98" s="116"/>
      <c r="BM98" s="116"/>
      <c r="BN98" s="116"/>
      <c r="BO98" s="116"/>
      <c r="BP98" s="116"/>
      <c r="BQ98" s="116"/>
      <c r="BR98" s="116"/>
      <c r="BS98" s="116"/>
      <c r="BT98" s="116"/>
      <c r="BU98" s="116"/>
      <c r="BV98" s="116"/>
      <c r="BW98" s="116"/>
      <c r="BX98" s="116"/>
      <c r="BY98" s="116"/>
      <c r="BZ98" s="116"/>
      <c r="CA98" s="116"/>
      <c r="CB98" s="116"/>
      <c r="CC98" s="116"/>
      <c r="CD98" s="116"/>
      <c r="CE98" s="116"/>
      <c r="CF98" s="116"/>
      <c r="CG98" s="116"/>
      <c r="CH98" s="116"/>
      <c r="CI98" s="116"/>
      <c r="CJ98" s="116"/>
      <c r="CK98" s="116"/>
      <c r="CL98" s="116"/>
      <c r="CM98" s="116"/>
      <c r="CN98" s="116"/>
      <c r="CO98" s="116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  <c r="DM98" s="116"/>
      <c r="DN98" s="116"/>
      <c r="DO98" s="116"/>
      <c r="DP98" s="116"/>
      <c r="DQ98" s="116"/>
      <c r="DR98" s="116"/>
      <c r="DS98" s="116"/>
      <c r="DT98" s="116"/>
      <c r="DU98" s="116"/>
      <c r="DV98" s="116"/>
      <c r="DW98" s="116"/>
      <c r="DX98" s="116"/>
      <c r="DY98" s="116"/>
      <c r="DZ98" s="116"/>
      <c r="EA98" s="116"/>
      <c r="EB98" s="116"/>
      <c r="EC98" s="116"/>
      <c r="ED98" s="116"/>
      <c r="EE98" s="116"/>
      <c r="EF98" s="116"/>
      <c r="EG98" s="116"/>
      <c r="EH98" s="116"/>
      <c r="EI98" s="116"/>
      <c r="EJ98" s="116"/>
      <c r="EK98" s="116"/>
      <c r="EL98" s="116"/>
      <c r="EM98" s="116"/>
      <c r="EN98" s="116"/>
      <c r="EO98" s="116"/>
      <c r="EP98" s="116"/>
      <c r="EQ98" s="116"/>
      <c r="ER98" s="116"/>
      <c r="ES98" s="116"/>
      <c r="ET98" s="116"/>
      <c r="EU98" s="116"/>
      <c r="EV98" s="116"/>
      <c r="EW98" s="116"/>
      <c r="EX98" s="116"/>
      <c r="EY98" s="116"/>
      <c r="EZ98" s="116"/>
      <c r="FA98" s="116"/>
      <c r="FB98" s="116"/>
      <c r="FC98" s="116"/>
      <c r="FD98" s="116"/>
      <c r="FE98" s="116"/>
      <c r="FF98" s="116"/>
      <c r="FG98" s="116"/>
      <c r="FH98" s="116"/>
      <c r="FI98" s="116"/>
      <c r="FJ98" s="116"/>
      <c r="FK98" s="116"/>
      <c r="FL98" s="116"/>
      <c r="FM98" s="116"/>
      <c r="FN98" s="116"/>
      <c r="FO98" s="116"/>
      <c r="FP98" s="116"/>
      <c r="FQ98" s="116"/>
      <c r="FR98" s="116"/>
      <c r="FS98" s="116"/>
      <c r="FT98" s="116"/>
      <c r="FU98" s="116"/>
      <c r="FV98" s="116"/>
      <c r="FW98" s="116"/>
      <c r="FX98" s="116"/>
      <c r="FY98" s="116"/>
      <c r="FZ98" s="116"/>
      <c r="GA98" s="116"/>
      <c r="GB98" s="116"/>
      <c r="GC98" s="116"/>
      <c r="GD98" s="116"/>
      <c r="GE98" s="116"/>
      <c r="GF98" s="116"/>
      <c r="GG98" s="116"/>
      <c r="GH98" s="116"/>
      <c r="GI98" s="116"/>
      <c r="GJ98" s="116"/>
      <c r="GK98" s="116"/>
      <c r="GL98" s="116"/>
      <c r="GM98" s="116"/>
      <c r="GN98" s="116"/>
      <c r="GO98" s="116"/>
      <c r="GP98" s="116"/>
      <c r="GQ98" s="116"/>
      <c r="GR98" s="116"/>
      <c r="GS98" s="116"/>
      <c r="GT98" s="116"/>
      <c r="GU98" s="116"/>
      <c r="GV98" s="116"/>
      <c r="GW98" s="116"/>
      <c r="GX98" s="116"/>
      <c r="GY98" s="116"/>
      <c r="GZ98" s="116"/>
      <c r="HA98" s="116"/>
      <c r="HB98" s="116"/>
      <c r="HC98" s="116"/>
      <c r="HD98" s="116"/>
      <c r="HE98" s="116"/>
      <c r="HF98" s="116"/>
      <c r="HG98" s="116"/>
      <c r="HH98" s="116"/>
      <c r="HI98" s="116"/>
      <c r="HJ98" s="116"/>
      <c r="HK98" s="116"/>
      <c r="HL98" s="116"/>
      <c r="HM98" s="116"/>
      <c r="HN98" s="116"/>
      <c r="HO98" s="116"/>
      <c r="HP98" s="116"/>
      <c r="HQ98" s="116"/>
      <c r="HR98" s="116"/>
      <c r="HS98" s="116"/>
      <c r="HT98" s="116"/>
      <c r="HU98" s="116"/>
      <c r="HV98" s="116"/>
      <c r="HW98" s="116"/>
      <c r="HX98" s="116"/>
      <c r="HY98" s="116"/>
      <c r="HZ98" s="116"/>
      <c r="IA98" s="116"/>
      <c r="IB98" s="116"/>
      <c r="IC98" s="116"/>
      <c r="ID98" s="116"/>
      <c r="IE98" s="116"/>
      <c r="IF98" s="116"/>
      <c r="IG98" s="116"/>
      <c r="IH98" s="116"/>
      <c r="II98" s="116"/>
      <c r="IJ98" s="116"/>
      <c r="IK98" s="116"/>
      <c r="IL98" s="116"/>
      <c r="IM98" s="116"/>
      <c r="IN98" s="116"/>
      <c r="IO98" s="116"/>
      <c r="IP98" s="116"/>
      <c r="IQ98" s="116"/>
      <c r="IR98" s="116"/>
      <c r="IS98" s="116"/>
      <c r="IT98" s="116"/>
      <c r="IU98" s="116"/>
      <c r="IV98" s="116"/>
      <c r="IW98" s="116"/>
    </row>
    <row r="99" spans="2:257" x14ac:dyDescent="0.3">
      <c r="B99" s="133" t="s">
        <v>181</v>
      </c>
      <c r="C99" s="229">
        <v>0</v>
      </c>
      <c r="D99" s="229">
        <f t="shared" ref="D99:H101" si="17">+D55</f>
        <v>116185402623.33333</v>
      </c>
      <c r="E99" s="229">
        <f t="shared" si="17"/>
        <v>129044134919.61874</v>
      </c>
      <c r="F99" s="229">
        <f t="shared" si="17"/>
        <v>143412783175.58322</v>
      </c>
      <c r="G99" s="229">
        <f t="shared" si="17"/>
        <v>159451407720.44415</v>
      </c>
      <c r="H99" s="229">
        <f t="shared" si="17"/>
        <v>177223380461.00143</v>
      </c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V99" s="116"/>
      <c r="DW99" s="116"/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6"/>
      <c r="EL99" s="116"/>
      <c r="EM99" s="116"/>
      <c r="EN99" s="116"/>
      <c r="EO99" s="116"/>
      <c r="EP99" s="116"/>
      <c r="EQ99" s="116"/>
      <c r="ER99" s="116"/>
      <c r="ES99" s="116"/>
      <c r="ET99" s="116"/>
      <c r="EU99" s="116"/>
      <c r="EV99" s="116"/>
      <c r="EW99" s="116"/>
      <c r="EX99" s="116"/>
      <c r="EY99" s="116"/>
      <c r="EZ99" s="116"/>
      <c r="FA99" s="116"/>
      <c r="FB99" s="116"/>
      <c r="FC99" s="116"/>
      <c r="FD99" s="116"/>
      <c r="FE99" s="116"/>
      <c r="FF99" s="116"/>
      <c r="FG99" s="116"/>
      <c r="FH99" s="116"/>
      <c r="FI99" s="116"/>
      <c r="FJ99" s="116"/>
      <c r="FK99" s="116"/>
      <c r="FL99" s="116"/>
      <c r="FM99" s="116"/>
      <c r="FN99" s="116"/>
      <c r="FO99" s="116"/>
      <c r="FP99" s="116"/>
      <c r="FQ99" s="116"/>
      <c r="FR99" s="116"/>
      <c r="FS99" s="116"/>
      <c r="FT99" s="116"/>
      <c r="FU99" s="116"/>
      <c r="FV99" s="116"/>
      <c r="FW99" s="116"/>
      <c r="FX99" s="116"/>
      <c r="FY99" s="116"/>
      <c r="FZ99" s="116"/>
      <c r="GA99" s="116"/>
      <c r="GB99" s="116"/>
      <c r="GC99" s="116"/>
      <c r="GD99" s="116"/>
      <c r="GE99" s="116"/>
      <c r="GF99" s="116"/>
      <c r="GG99" s="116"/>
      <c r="GH99" s="116"/>
      <c r="GI99" s="116"/>
      <c r="GJ99" s="116"/>
      <c r="GK99" s="116"/>
      <c r="GL99" s="116"/>
      <c r="GM99" s="116"/>
      <c r="GN99" s="116"/>
      <c r="GO99" s="116"/>
      <c r="GP99" s="116"/>
      <c r="GQ99" s="116"/>
      <c r="GR99" s="116"/>
      <c r="GS99" s="116"/>
      <c r="GT99" s="116"/>
      <c r="GU99" s="116"/>
      <c r="GV99" s="116"/>
      <c r="GW99" s="116"/>
      <c r="GX99" s="116"/>
      <c r="GY99" s="116"/>
      <c r="GZ99" s="116"/>
      <c r="HA99" s="116"/>
      <c r="HB99" s="116"/>
      <c r="HC99" s="116"/>
      <c r="HD99" s="116"/>
      <c r="HE99" s="116"/>
      <c r="HF99" s="116"/>
      <c r="HG99" s="116"/>
      <c r="HH99" s="116"/>
      <c r="HI99" s="116"/>
      <c r="HJ99" s="116"/>
      <c r="HK99" s="116"/>
      <c r="HL99" s="116"/>
      <c r="HM99" s="116"/>
      <c r="HN99" s="116"/>
      <c r="HO99" s="116"/>
      <c r="HP99" s="116"/>
      <c r="HQ99" s="116"/>
      <c r="HR99" s="116"/>
      <c r="HS99" s="116"/>
      <c r="HT99" s="116"/>
      <c r="HU99" s="116"/>
      <c r="HV99" s="116"/>
      <c r="HW99" s="116"/>
      <c r="HX99" s="116"/>
      <c r="HY99" s="116"/>
      <c r="HZ99" s="116"/>
      <c r="IA99" s="116"/>
      <c r="IB99" s="116"/>
      <c r="IC99" s="116"/>
      <c r="ID99" s="116"/>
      <c r="IE99" s="116"/>
      <c r="IF99" s="116"/>
      <c r="IG99" s="116"/>
      <c r="IH99" s="116"/>
      <c r="II99" s="116"/>
      <c r="IJ99" s="116"/>
      <c r="IK99" s="116"/>
      <c r="IL99" s="116"/>
      <c r="IM99" s="116"/>
      <c r="IN99" s="116"/>
      <c r="IO99" s="116"/>
      <c r="IP99" s="116"/>
      <c r="IQ99" s="116"/>
      <c r="IR99" s="116"/>
      <c r="IS99" s="116"/>
      <c r="IT99" s="116"/>
      <c r="IU99" s="116"/>
      <c r="IV99" s="116"/>
      <c r="IW99" s="116"/>
    </row>
    <row r="100" spans="2:257" x14ac:dyDescent="0.3">
      <c r="B100" s="133" t="s">
        <v>169</v>
      </c>
      <c r="C100" s="229">
        <v>0</v>
      </c>
      <c r="D100" s="229">
        <f t="shared" si="17"/>
        <v>6091896286.9063864</v>
      </c>
      <c r="E100" s="229">
        <f t="shared" si="17"/>
        <v>6466377732.0922728</v>
      </c>
      <c r="F100" s="229">
        <f t="shared" si="17"/>
        <v>6844179084.2786293</v>
      </c>
      <c r="G100" s="229">
        <f t="shared" si="17"/>
        <v>7247234501.5965681</v>
      </c>
      <c r="H100" s="229">
        <f t="shared" si="17"/>
        <v>7671413506.3472528</v>
      </c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6"/>
      <c r="ED100" s="116"/>
      <c r="EE100" s="116"/>
      <c r="EF100" s="116"/>
      <c r="EG100" s="116"/>
      <c r="EH100" s="116"/>
      <c r="EI100" s="116"/>
      <c r="EJ100" s="116"/>
      <c r="EK100" s="116"/>
      <c r="EL100" s="116"/>
      <c r="EM100" s="116"/>
      <c r="EN100" s="116"/>
      <c r="EO100" s="116"/>
      <c r="EP100" s="116"/>
      <c r="EQ100" s="116"/>
      <c r="ER100" s="116"/>
      <c r="ES100" s="116"/>
      <c r="ET100" s="116"/>
      <c r="EU100" s="116"/>
      <c r="EV100" s="116"/>
      <c r="EW100" s="116"/>
      <c r="EX100" s="116"/>
      <c r="EY100" s="116"/>
      <c r="EZ100" s="116"/>
      <c r="FA100" s="116"/>
      <c r="FB100" s="116"/>
      <c r="FC100" s="116"/>
      <c r="FD100" s="116"/>
      <c r="FE100" s="116"/>
      <c r="FF100" s="116"/>
      <c r="FG100" s="116"/>
      <c r="FH100" s="116"/>
      <c r="FI100" s="116"/>
      <c r="FJ100" s="116"/>
      <c r="FK100" s="116"/>
      <c r="FL100" s="116"/>
      <c r="FM100" s="116"/>
      <c r="FN100" s="116"/>
      <c r="FO100" s="116"/>
      <c r="FP100" s="116"/>
      <c r="FQ100" s="116"/>
      <c r="FR100" s="116"/>
      <c r="FS100" s="116"/>
      <c r="FT100" s="116"/>
      <c r="FU100" s="116"/>
      <c r="FV100" s="116"/>
      <c r="FW100" s="116"/>
      <c r="FX100" s="116"/>
      <c r="FY100" s="116"/>
      <c r="FZ100" s="116"/>
      <c r="GA100" s="116"/>
      <c r="GB100" s="116"/>
      <c r="GC100" s="116"/>
      <c r="GD100" s="116"/>
      <c r="GE100" s="116"/>
      <c r="GF100" s="116"/>
      <c r="GG100" s="116"/>
      <c r="GH100" s="116"/>
      <c r="GI100" s="116"/>
      <c r="GJ100" s="116"/>
      <c r="GK100" s="116"/>
      <c r="GL100" s="116"/>
      <c r="GM100" s="116"/>
      <c r="GN100" s="116"/>
      <c r="GO100" s="116"/>
      <c r="GP100" s="116"/>
      <c r="GQ100" s="116"/>
      <c r="GR100" s="116"/>
      <c r="GS100" s="116"/>
      <c r="GT100" s="116"/>
      <c r="GU100" s="116"/>
      <c r="GV100" s="116"/>
      <c r="GW100" s="116"/>
      <c r="GX100" s="116"/>
      <c r="GY100" s="116"/>
      <c r="GZ100" s="116"/>
      <c r="HA100" s="116"/>
      <c r="HB100" s="116"/>
      <c r="HC100" s="116"/>
      <c r="HD100" s="116"/>
      <c r="HE100" s="116"/>
      <c r="HF100" s="116"/>
      <c r="HG100" s="116"/>
      <c r="HH100" s="116"/>
      <c r="HI100" s="116"/>
      <c r="HJ100" s="116"/>
      <c r="HK100" s="116"/>
      <c r="HL100" s="116"/>
      <c r="HM100" s="116"/>
      <c r="HN100" s="116"/>
      <c r="HO100" s="116"/>
      <c r="HP100" s="116"/>
      <c r="HQ100" s="116"/>
      <c r="HR100" s="116"/>
      <c r="HS100" s="116"/>
      <c r="HT100" s="116"/>
      <c r="HU100" s="116"/>
      <c r="HV100" s="116"/>
      <c r="HW100" s="116"/>
      <c r="HX100" s="116"/>
      <c r="HY100" s="116"/>
      <c r="HZ100" s="116"/>
      <c r="IA100" s="116"/>
      <c r="IB100" s="116"/>
      <c r="IC100" s="116"/>
      <c r="ID100" s="116"/>
      <c r="IE100" s="116"/>
      <c r="IF100" s="116"/>
      <c r="IG100" s="116"/>
      <c r="IH100" s="116"/>
      <c r="II100" s="116"/>
      <c r="IJ100" s="116"/>
      <c r="IK100" s="116"/>
      <c r="IL100" s="116"/>
      <c r="IM100" s="116"/>
      <c r="IN100" s="116"/>
      <c r="IO100" s="116"/>
      <c r="IP100" s="116"/>
      <c r="IQ100" s="116"/>
      <c r="IR100" s="116"/>
      <c r="IS100" s="116"/>
      <c r="IT100" s="116"/>
      <c r="IU100" s="116"/>
      <c r="IV100" s="116"/>
      <c r="IW100" s="116"/>
    </row>
    <row r="101" spans="2:257" x14ac:dyDescent="0.3">
      <c r="B101" s="133" t="s">
        <v>170</v>
      </c>
      <c r="C101" s="229">
        <v>0</v>
      </c>
      <c r="D101" s="229">
        <f t="shared" si="17"/>
        <v>351290697.1056</v>
      </c>
      <c r="E101" s="229">
        <f t="shared" si="17"/>
        <v>665085762.44835985</v>
      </c>
      <c r="F101" s="229">
        <f t="shared" si="17"/>
        <v>737606713.98572898</v>
      </c>
      <c r="G101" s="229">
        <f t="shared" si="17"/>
        <v>819377794.29818702</v>
      </c>
      <c r="H101" s="229">
        <f t="shared" si="17"/>
        <v>909724028.65309358</v>
      </c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  <c r="DM101" s="116"/>
      <c r="DN101" s="116"/>
      <c r="DO101" s="116"/>
      <c r="DP101" s="116"/>
      <c r="DQ101" s="116"/>
      <c r="DR101" s="116"/>
      <c r="DS101" s="116"/>
      <c r="DT101" s="116"/>
      <c r="DU101" s="116"/>
      <c r="DV101" s="116"/>
      <c r="DW101" s="116"/>
      <c r="DX101" s="116"/>
      <c r="DY101" s="116"/>
      <c r="DZ101" s="116"/>
      <c r="EA101" s="116"/>
      <c r="EB101" s="116"/>
      <c r="EC101" s="116"/>
      <c r="ED101" s="116"/>
      <c r="EE101" s="116"/>
      <c r="EF101" s="116"/>
      <c r="EG101" s="116"/>
      <c r="EH101" s="116"/>
      <c r="EI101" s="116"/>
      <c r="EJ101" s="116"/>
      <c r="EK101" s="116"/>
      <c r="EL101" s="116"/>
      <c r="EM101" s="116"/>
      <c r="EN101" s="116"/>
      <c r="EO101" s="116"/>
      <c r="EP101" s="116"/>
      <c r="EQ101" s="116"/>
      <c r="ER101" s="116"/>
      <c r="ES101" s="116"/>
      <c r="ET101" s="116"/>
      <c r="EU101" s="116"/>
      <c r="EV101" s="116"/>
      <c r="EW101" s="116"/>
      <c r="EX101" s="116"/>
      <c r="EY101" s="116"/>
      <c r="EZ101" s="116"/>
      <c r="FA101" s="116"/>
      <c r="FB101" s="116"/>
      <c r="FC101" s="116"/>
      <c r="FD101" s="116"/>
      <c r="FE101" s="116"/>
      <c r="FF101" s="116"/>
      <c r="FG101" s="116"/>
      <c r="FH101" s="116"/>
      <c r="FI101" s="116"/>
      <c r="FJ101" s="116"/>
      <c r="FK101" s="116"/>
      <c r="FL101" s="116"/>
      <c r="FM101" s="116"/>
      <c r="FN101" s="116"/>
      <c r="FO101" s="116"/>
      <c r="FP101" s="116"/>
      <c r="FQ101" s="116"/>
      <c r="FR101" s="116"/>
      <c r="FS101" s="116"/>
      <c r="FT101" s="116"/>
      <c r="FU101" s="116"/>
      <c r="FV101" s="116"/>
      <c r="FW101" s="116"/>
      <c r="FX101" s="116"/>
      <c r="FY101" s="116"/>
      <c r="FZ101" s="116"/>
      <c r="GA101" s="116"/>
      <c r="GB101" s="116"/>
      <c r="GC101" s="116"/>
      <c r="GD101" s="116"/>
      <c r="GE101" s="116"/>
      <c r="GF101" s="116"/>
      <c r="GG101" s="116"/>
      <c r="GH101" s="116"/>
      <c r="GI101" s="116"/>
      <c r="GJ101" s="116"/>
      <c r="GK101" s="116"/>
      <c r="GL101" s="116"/>
      <c r="GM101" s="116"/>
      <c r="GN101" s="116"/>
      <c r="GO101" s="116"/>
      <c r="GP101" s="116"/>
      <c r="GQ101" s="116"/>
      <c r="GR101" s="116"/>
      <c r="GS101" s="116"/>
      <c r="GT101" s="116"/>
      <c r="GU101" s="116"/>
      <c r="GV101" s="116"/>
      <c r="GW101" s="116"/>
      <c r="GX101" s="116"/>
      <c r="GY101" s="116"/>
      <c r="GZ101" s="116"/>
      <c r="HA101" s="116"/>
      <c r="HB101" s="116"/>
      <c r="HC101" s="116"/>
      <c r="HD101" s="116"/>
      <c r="HE101" s="116"/>
      <c r="HF101" s="116"/>
      <c r="HG101" s="116"/>
      <c r="HH101" s="116"/>
      <c r="HI101" s="116"/>
      <c r="HJ101" s="116"/>
      <c r="HK101" s="116"/>
      <c r="HL101" s="116"/>
      <c r="HM101" s="116"/>
      <c r="HN101" s="116"/>
      <c r="HO101" s="116"/>
      <c r="HP101" s="116"/>
      <c r="HQ101" s="116"/>
      <c r="HR101" s="116"/>
      <c r="HS101" s="116"/>
      <c r="HT101" s="116"/>
      <c r="HU101" s="116"/>
      <c r="HV101" s="116"/>
      <c r="HW101" s="116"/>
      <c r="HX101" s="116"/>
      <c r="HY101" s="116"/>
      <c r="HZ101" s="116"/>
      <c r="IA101" s="116"/>
      <c r="IB101" s="116"/>
      <c r="IC101" s="116"/>
      <c r="ID101" s="116"/>
      <c r="IE101" s="116"/>
      <c r="IF101" s="116"/>
      <c r="IG101" s="116"/>
      <c r="IH101" s="116"/>
      <c r="II101" s="116"/>
      <c r="IJ101" s="116"/>
      <c r="IK101" s="116"/>
      <c r="IL101" s="116"/>
      <c r="IM101" s="116"/>
      <c r="IN101" s="116"/>
      <c r="IO101" s="116"/>
      <c r="IP101" s="116"/>
      <c r="IQ101" s="116"/>
      <c r="IR101" s="116"/>
      <c r="IS101" s="116"/>
      <c r="IT101" s="116"/>
      <c r="IU101" s="116"/>
      <c r="IV101" s="116"/>
      <c r="IW101" s="116"/>
    </row>
    <row r="102" spans="2:257" x14ac:dyDescent="0.3">
      <c r="B102" s="200" t="s">
        <v>230</v>
      </c>
      <c r="C102" s="230">
        <f>+C98-(C99+C100+C101)</f>
        <v>0</v>
      </c>
      <c r="D102" s="230">
        <f>+D98-(D99+D100+D101)</f>
        <v>-7408677745.7453308</v>
      </c>
      <c r="E102" s="230">
        <f t="shared" ref="E102:G102" si="18">+E98-(E99+E100+E101)</f>
        <v>-8203809222.2106934</v>
      </c>
      <c r="F102" s="230">
        <f t="shared" si="18"/>
        <v>26781725037.967499</v>
      </c>
      <c r="G102" s="230">
        <f t="shared" si="18"/>
        <v>30139953065.888336</v>
      </c>
      <c r="H102" s="230">
        <f>+H98-(H99+H100+H101)</f>
        <v>33883813295.537292</v>
      </c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5"/>
      <c r="BN102" s="145"/>
      <c r="BO102" s="145"/>
      <c r="BP102" s="145"/>
      <c r="BQ102" s="145"/>
      <c r="BR102" s="145"/>
      <c r="BS102" s="145"/>
      <c r="BT102" s="145"/>
      <c r="BU102" s="145"/>
      <c r="BV102" s="145"/>
      <c r="BW102" s="145"/>
      <c r="BX102" s="145"/>
      <c r="BY102" s="145"/>
      <c r="BZ102" s="145"/>
      <c r="CA102" s="145"/>
      <c r="CB102" s="145"/>
      <c r="CC102" s="145"/>
      <c r="CD102" s="145"/>
      <c r="CE102" s="145"/>
      <c r="CF102" s="145"/>
      <c r="CG102" s="145"/>
      <c r="CH102" s="145"/>
      <c r="CI102" s="145"/>
      <c r="CJ102" s="145"/>
      <c r="CK102" s="145"/>
      <c r="CL102" s="145"/>
      <c r="CM102" s="145"/>
      <c r="CN102" s="145"/>
      <c r="CO102" s="145"/>
      <c r="CP102" s="145"/>
      <c r="CQ102" s="145"/>
      <c r="CR102" s="145"/>
      <c r="CS102" s="145"/>
      <c r="CT102" s="145"/>
      <c r="CU102" s="145"/>
      <c r="CV102" s="145"/>
      <c r="CW102" s="145"/>
      <c r="CX102" s="145"/>
      <c r="CY102" s="145"/>
      <c r="CZ102" s="145"/>
      <c r="DA102" s="145"/>
      <c r="DB102" s="145"/>
      <c r="DC102" s="145"/>
      <c r="DD102" s="145"/>
      <c r="DE102" s="145"/>
      <c r="DF102" s="145"/>
      <c r="DG102" s="145"/>
      <c r="DH102" s="145"/>
      <c r="DI102" s="145"/>
      <c r="DJ102" s="145"/>
      <c r="DK102" s="145"/>
      <c r="DL102" s="145"/>
      <c r="DM102" s="145"/>
      <c r="DN102" s="145"/>
      <c r="DO102" s="145"/>
      <c r="DP102" s="145"/>
      <c r="DQ102" s="145"/>
      <c r="DR102" s="145"/>
      <c r="DS102" s="145"/>
      <c r="DT102" s="145"/>
      <c r="DU102" s="145"/>
      <c r="DV102" s="145"/>
      <c r="DW102" s="145"/>
      <c r="DX102" s="145"/>
      <c r="DY102" s="145"/>
      <c r="DZ102" s="145"/>
      <c r="EA102" s="145"/>
      <c r="EB102" s="145"/>
      <c r="EC102" s="145"/>
      <c r="ED102" s="145"/>
      <c r="EE102" s="145"/>
      <c r="EF102" s="145"/>
      <c r="EG102" s="145"/>
      <c r="EH102" s="145"/>
      <c r="EI102" s="145"/>
      <c r="EJ102" s="145"/>
      <c r="EK102" s="145"/>
      <c r="EL102" s="145"/>
      <c r="EM102" s="145"/>
      <c r="EN102" s="145"/>
      <c r="EO102" s="145"/>
      <c r="EP102" s="145"/>
      <c r="EQ102" s="145"/>
      <c r="ER102" s="145"/>
      <c r="ES102" s="145"/>
      <c r="ET102" s="145"/>
      <c r="EU102" s="145"/>
      <c r="EV102" s="145"/>
      <c r="EW102" s="145"/>
      <c r="EX102" s="145"/>
      <c r="EY102" s="145"/>
      <c r="EZ102" s="145"/>
      <c r="FA102" s="145"/>
      <c r="FB102" s="145"/>
      <c r="FC102" s="145"/>
      <c r="FD102" s="145"/>
      <c r="FE102" s="145"/>
      <c r="FF102" s="145"/>
      <c r="FG102" s="145"/>
      <c r="FH102" s="145"/>
      <c r="FI102" s="145"/>
      <c r="FJ102" s="145"/>
      <c r="FK102" s="145"/>
      <c r="FL102" s="145"/>
      <c r="FM102" s="145"/>
      <c r="FN102" s="145"/>
      <c r="FO102" s="145"/>
      <c r="FP102" s="145"/>
      <c r="FQ102" s="145"/>
      <c r="FR102" s="145"/>
      <c r="FS102" s="145"/>
      <c r="FT102" s="145"/>
      <c r="FU102" s="145"/>
      <c r="FV102" s="145"/>
      <c r="FW102" s="145"/>
      <c r="FX102" s="145"/>
      <c r="FY102" s="145"/>
      <c r="FZ102" s="145"/>
      <c r="GA102" s="145"/>
      <c r="GB102" s="145"/>
      <c r="GC102" s="145"/>
      <c r="GD102" s="145"/>
      <c r="GE102" s="145"/>
      <c r="GF102" s="145"/>
      <c r="GG102" s="145"/>
      <c r="GH102" s="145"/>
      <c r="GI102" s="145"/>
      <c r="GJ102" s="145"/>
      <c r="GK102" s="145"/>
      <c r="GL102" s="145"/>
      <c r="GM102" s="145"/>
      <c r="GN102" s="145"/>
      <c r="GO102" s="145"/>
      <c r="GP102" s="145"/>
      <c r="GQ102" s="145"/>
      <c r="GR102" s="145"/>
      <c r="GS102" s="145"/>
      <c r="GT102" s="145"/>
      <c r="GU102" s="145"/>
      <c r="GV102" s="145"/>
      <c r="GW102" s="145"/>
      <c r="GX102" s="145"/>
      <c r="GY102" s="145"/>
      <c r="GZ102" s="145"/>
      <c r="HA102" s="145"/>
      <c r="HB102" s="145"/>
      <c r="HC102" s="145"/>
      <c r="HD102" s="145"/>
      <c r="HE102" s="145"/>
      <c r="HF102" s="145"/>
      <c r="HG102" s="145"/>
      <c r="HH102" s="145"/>
      <c r="HI102" s="145"/>
      <c r="HJ102" s="145"/>
      <c r="HK102" s="145"/>
      <c r="HL102" s="145"/>
      <c r="HM102" s="145"/>
      <c r="HN102" s="145"/>
      <c r="HO102" s="145"/>
      <c r="HP102" s="145"/>
      <c r="HQ102" s="145"/>
      <c r="HR102" s="145"/>
      <c r="HS102" s="145"/>
      <c r="HT102" s="145"/>
      <c r="HU102" s="145"/>
      <c r="HV102" s="145"/>
      <c r="HW102" s="145"/>
      <c r="HX102" s="145"/>
      <c r="HY102" s="145"/>
      <c r="HZ102" s="145"/>
      <c r="IA102" s="145"/>
      <c r="IB102" s="145"/>
      <c r="IC102" s="145"/>
      <c r="ID102" s="145"/>
      <c r="IE102" s="145"/>
      <c r="IF102" s="145"/>
      <c r="IG102" s="145"/>
      <c r="IH102" s="145"/>
      <c r="II102" s="145"/>
      <c r="IJ102" s="145"/>
      <c r="IK102" s="145"/>
      <c r="IL102" s="145"/>
      <c r="IM102" s="145"/>
      <c r="IN102" s="145"/>
      <c r="IO102" s="145"/>
      <c r="IP102" s="145"/>
      <c r="IQ102" s="145"/>
      <c r="IR102" s="145"/>
      <c r="IS102" s="145"/>
      <c r="IT102" s="145"/>
      <c r="IU102" s="145"/>
      <c r="IV102" s="145"/>
      <c r="IW102" s="145"/>
    </row>
    <row r="103" spans="2:257" x14ac:dyDescent="0.3">
      <c r="B103" s="140" t="s">
        <v>182</v>
      </c>
      <c r="C103" s="235">
        <v>0</v>
      </c>
      <c r="D103" s="235">
        <f>+G88</f>
        <v>3000000</v>
      </c>
      <c r="E103" s="235">
        <f>+D103</f>
        <v>3000000</v>
      </c>
      <c r="F103" s="235">
        <f t="shared" ref="F103:H103" si="19">+E103</f>
        <v>3000000</v>
      </c>
      <c r="G103" s="235">
        <f t="shared" si="19"/>
        <v>3000000</v>
      </c>
      <c r="H103" s="235">
        <f t="shared" si="19"/>
        <v>3000000</v>
      </c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16"/>
      <c r="DB103" s="116"/>
      <c r="DC103" s="116"/>
      <c r="DD103" s="116"/>
      <c r="DE103" s="116"/>
      <c r="DF103" s="116"/>
      <c r="DG103" s="116"/>
      <c r="DH103" s="116"/>
      <c r="DI103" s="116"/>
      <c r="DJ103" s="116"/>
      <c r="DK103" s="116"/>
      <c r="DL103" s="116"/>
      <c r="DM103" s="116"/>
      <c r="DN103" s="116"/>
      <c r="DO103" s="116"/>
      <c r="DP103" s="116"/>
      <c r="DQ103" s="116"/>
      <c r="DR103" s="116"/>
      <c r="DS103" s="116"/>
      <c r="DT103" s="116"/>
      <c r="DU103" s="116"/>
      <c r="DV103" s="116"/>
      <c r="DW103" s="116"/>
      <c r="DX103" s="116"/>
      <c r="DY103" s="116"/>
      <c r="DZ103" s="116"/>
      <c r="EA103" s="116"/>
      <c r="EB103" s="116"/>
      <c r="EC103" s="116"/>
      <c r="ED103" s="116"/>
      <c r="EE103" s="116"/>
      <c r="EF103" s="116"/>
      <c r="EG103" s="116"/>
      <c r="EH103" s="116"/>
      <c r="EI103" s="116"/>
      <c r="EJ103" s="116"/>
      <c r="EK103" s="116"/>
      <c r="EL103" s="116"/>
      <c r="EM103" s="116"/>
      <c r="EN103" s="116"/>
      <c r="EO103" s="116"/>
      <c r="EP103" s="116"/>
      <c r="EQ103" s="116"/>
      <c r="ER103" s="116"/>
      <c r="ES103" s="116"/>
      <c r="ET103" s="116"/>
      <c r="EU103" s="116"/>
      <c r="EV103" s="116"/>
      <c r="EW103" s="116"/>
      <c r="EX103" s="116"/>
      <c r="EY103" s="116"/>
      <c r="EZ103" s="116"/>
      <c r="FA103" s="116"/>
      <c r="FB103" s="116"/>
      <c r="FC103" s="116"/>
      <c r="FD103" s="116"/>
      <c r="FE103" s="116"/>
      <c r="FF103" s="116"/>
      <c r="FG103" s="116"/>
      <c r="FH103" s="116"/>
      <c r="FI103" s="116"/>
      <c r="FJ103" s="116"/>
      <c r="FK103" s="116"/>
      <c r="FL103" s="116"/>
      <c r="FM103" s="116"/>
      <c r="FN103" s="116"/>
      <c r="FO103" s="116"/>
      <c r="FP103" s="116"/>
      <c r="FQ103" s="116"/>
      <c r="FR103" s="116"/>
      <c r="FS103" s="116"/>
      <c r="FT103" s="116"/>
      <c r="FU103" s="116"/>
      <c r="FV103" s="116"/>
      <c r="FW103" s="116"/>
      <c r="FX103" s="116"/>
      <c r="FY103" s="116"/>
      <c r="FZ103" s="116"/>
      <c r="GA103" s="116"/>
      <c r="GB103" s="116"/>
      <c r="GC103" s="116"/>
      <c r="GD103" s="116"/>
      <c r="GE103" s="116"/>
      <c r="GF103" s="116"/>
      <c r="GG103" s="116"/>
      <c r="GH103" s="116"/>
      <c r="GI103" s="116"/>
      <c r="GJ103" s="116"/>
      <c r="GK103" s="116"/>
      <c r="GL103" s="116"/>
      <c r="GM103" s="116"/>
      <c r="GN103" s="116"/>
      <c r="GO103" s="116"/>
      <c r="GP103" s="116"/>
      <c r="GQ103" s="116"/>
      <c r="GR103" s="116"/>
      <c r="GS103" s="116"/>
      <c r="GT103" s="116"/>
      <c r="GU103" s="116"/>
      <c r="GV103" s="116"/>
      <c r="GW103" s="116"/>
      <c r="GX103" s="116"/>
      <c r="GY103" s="116"/>
      <c r="GZ103" s="116"/>
      <c r="HA103" s="116"/>
      <c r="HB103" s="116"/>
      <c r="HC103" s="116"/>
      <c r="HD103" s="116"/>
      <c r="HE103" s="116"/>
      <c r="HF103" s="116"/>
      <c r="HG103" s="116"/>
      <c r="HH103" s="116"/>
      <c r="HI103" s="116"/>
      <c r="HJ103" s="116"/>
      <c r="HK103" s="116"/>
      <c r="HL103" s="116"/>
      <c r="HM103" s="116"/>
      <c r="HN103" s="116"/>
      <c r="HO103" s="116"/>
      <c r="HP103" s="116"/>
      <c r="HQ103" s="116"/>
      <c r="HR103" s="116"/>
      <c r="HS103" s="116"/>
      <c r="HT103" s="116"/>
      <c r="HU103" s="116"/>
      <c r="HV103" s="116"/>
      <c r="HW103" s="116"/>
      <c r="HX103" s="116"/>
      <c r="HY103" s="116"/>
      <c r="HZ103" s="116"/>
      <c r="IA103" s="116"/>
      <c r="IB103" s="116"/>
      <c r="IC103" s="116"/>
      <c r="ID103" s="116"/>
      <c r="IE103" s="116"/>
      <c r="IF103" s="116"/>
      <c r="IG103" s="116"/>
      <c r="IH103" s="116"/>
      <c r="II103" s="116"/>
      <c r="IJ103" s="116"/>
      <c r="IK103" s="116"/>
      <c r="IL103" s="116"/>
      <c r="IM103" s="116"/>
      <c r="IN103" s="116"/>
      <c r="IO103" s="116"/>
      <c r="IP103" s="116"/>
      <c r="IQ103" s="116"/>
      <c r="IR103" s="116"/>
      <c r="IS103" s="116"/>
      <c r="IT103" s="116"/>
      <c r="IU103" s="116"/>
      <c r="IV103" s="116"/>
      <c r="IW103" s="116"/>
    </row>
    <row r="104" spans="2:257" x14ac:dyDescent="0.3">
      <c r="B104" s="140" t="s">
        <v>183</v>
      </c>
      <c r="C104" s="235">
        <v>0</v>
      </c>
      <c r="D104" s="235">
        <f>+C88+D88</f>
        <v>5016000</v>
      </c>
      <c r="E104" s="235">
        <f>+D104</f>
        <v>5016000</v>
      </c>
      <c r="F104" s="235">
        <f t="shared" ref="F104:H104" si="20">+E104</f>
        <v>5016000</v>
      </c>
      <c r="G104" s="235">
        <f t="shared" si="20"/>
        <v>5016000</v>
      </c>
      <c r="H104" s="235">
        <f t="shared" si="20"/>
        <v>5016000</v>
      </c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16"/>
      <c r="BD104" s="116"/>
      <c r="BE104" s="116"/>
      <c r="BF104" s="116"/>
      <c r="BG104" s="116"/>
      <c r="BH104" s="116"/>
      <c r="BI104" s="116"/>
      <c r="BJ104" s="116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BZ104" s="116"/>
      <c r="CA104" s="116"/>
      <c r="CB104" s="116"/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  <c r="DF104" s="116"/>
      <c r="DG104" s="116"/>
      <c r="DH104" s="116"/>
      <c r="DI104" s="116"/>
      <c r="DJ104" s="116"/>
      <c r="DK104" s="116"/>
      <c r="DL104" s="116"/>
      <c r="DM104" s="116"/>
      <c r="DN104" s="116"/>
      <c r="DO104" s="116"/>
      <c r="DP104" s="116"/>
      <c r="DQ104" s="116"/>
      <c r="DR104" s="116"/>
      <c r="DS104" s="116"/>
      <c r="DT104" s="116"/>
      <c r="DU104" s="116"/>
      <c r="DV104" s="116"/>
      <c r="DW104" s="116"/>
      <c r="DX104" s="116"/>
      <c r="DY104" s="116"/>
      <c r="DZ104" s="116"/>
      <c r="EA104" s="116"/>
      <c r="EB104" s="116"/>
      <c r="EC104" s="116"/>
      <c r="ED104" s="116"/>
      <c r="EE104" s="116"/>
      <c r="EF104" s="116"/>
      <c r="EG104" s="116"/>
      <c r="EH104" s="116"/>
      <c r="EI104" s="116"/>
      <c r="EJ104" s="116"/>
      <c r="EK104" s="116"/>
      <c r="EL104" s="116"/>
      <c r="EM104" s="116"/>
      <c r="EN104" s="116"/>
      <c r="EO104" s="116"/>
      <c r="EP104" s="116"/>
      <c r="EQ104" s="116"/>
      <c r="ER104" s="116"/>
      <c r="ES104" s="116"/>
      <c r="ET104" s="116"/>
      <c r="EU104" s="116"/>
      <c r="EV104" s="116"/>
      <c r="EW104" s="116"/>
      <c r="EX104" s="116"/>
      <c r="EY104" s="116"/>
      <c r="EZ104" s="116"/>
      <c r="FA104" s="116"/>
      <c r="FB104" s="116"/>
      <c r="FC104" s="116"/>
      <c r="FD104" s="116"/>
      <c r="FE104" s="116"/>
      <c r="FF104" s="116"/>
      <c r="FG104" s="116"/>
      <c r="FH104" s="116"/>
      <c r="FI104" s="116"/>
      <c r="FJ104" s="116"/>
      <c r="FK104" s="116"/>
      <c r="FL104" s="116"/>
      <c r="FM104" s="116"/>
      <c r="FN104" s="116"/>
      <c r="FO104" s="116"/>
      <c r="FP104" s="116"/>
      <c r="FQ104" s="116"/>
      <c r="FR104" s="116"/>
      <c r="FS104" s="116"/>
      <c r="FT104" s="116"/>
      <c r="FU104" s="116"/>
      <c r="FV104" s="116"/>
      <c r="FW104" s="116"/>
      <c r="FX104" s="116"/>
      <c r="FY104" s="116"/>
      <c r="FZ104" s="116"/>
      <c r="GA104" s="116"/>
      <c r="GB104" s="116"/>
      <c r="GC104" s="116"/>
      <c r="GD104" s="116"/>
      <c r="GE104" s="116"/>
      <c r="GF104" s="116"/>
      <c r="GG104" s="116"/>
      <c r="GH104" s="116"/>
      <c r="GI104" s="116"/>
      <c r="GJ104" s="116"/>
      <c r="GK104" s="116"/>
      <c r="GL104" s="116"/>
      <c r="GM104" s="116"/>
      <c r="GN104" s="116"/>
      <c r="GO104" s="116"/>
      <c r="GP104" s="116"/>
      <c r="GQ104" s="116"/>
      <c r="GR104" s="116"/>
      <c r="GS104" s="116"/>
      <c r="GT104" s="116"/>
      <c r="GU104" s="116"/>
      <c r="GV104" s="116"/>
      <c r="GW104" s="116"/>
      <c r="GX104" s="116"/>
      <c r="GY104" s="116"/>
      <c r="GZ104" s="116"/>
      <c r="HA104" s="116"/>
      <c r="HB104" s="116"/>
      <c r="HC104" s="116"/>
      <c r="HD104" s="116"/>
      <c r="HE104" s="116"/>
      <c r="HF104" s="116"/>
      <c r="HG104" s="116"/>
      <c r="HH104" s="116"/>
      <c r="HI104" s="116"/>
      <c r="HJ104" s="116"/>
      <c r="HK104" s="116"/>
      <c r="HL104" s="116"/>
      <c r="HM104" s="116"/>
      <c r="HN104" s="116"/>
      <c r="HO104" s="116"/>
      <c r="HP104" s="116"/>
      <c r="HQ104" s="116"/>
      <c r="HR104" s="116"/>
      <c r="HS104" s="116"/>
      <c r="HT104" s="116"/>
      <c r="HU104" s="116"/>
      <c r="HV104" s="116"/>
      <c r="HW104" s="116"/>
      <c r="HX104" s="116"/>
      <c r="HY104" s="116"/>
      <c r="HZ104" s="116"/>
      <c r="IA104" s="116"/>
      <c r="IB104" s="116"/>
      <c r="IC104" s="116"/>
      <c r="ID104" s="116"/>
      <c r="IE104" s="116"/>
      <c r="IF104" s="116"/>
      <c r="IG104" s="116"/>
      <c r="IH104" s="116"/>
      <c r="II104" s="116"/>
      <c r="IJ104" s="116"/>
      <c r="IK104" s="116"/>
      <c r="IL104" s="116"/>
      <c r="IM104" s="116"/>
      <c r="IN104" s="116"/>
      <c r="IO104" s="116"/>
      <c r="IP104" s="116"/>
      <c r="IQ104" s="116"/>
      <c r="IR104" s="116"/>
      <c r="IS104" s="116"/>
      <c r="IT104" s="116"/>
      <c r="IU104" s="116"/>
      <c r="IV104" s="116"/>
      <c r="IW104" s="116"/>
    </row>
    <row r="105" spans="2:257" x14ac:dyDescent="0.3">
      <c r="B105" s="200" t="s">
        <v>231</v>
      </c>
      <c r="C105" s="271">
        <f>+C102-C103-C104</f>
        <v>0</v>
      </c>
      <c r="D105" s="271">
        <f>+D102-D103-D104</f>
        <v>-7416693745.7453308</v>
      </c>
      <c r="E105" s="271">
        <f t="shared" ref="E105:H105" si="21">+E102-E103-E104</f>
        <v>-8211825222.2106934</v>
      </c>
      <c r="F105" s="271">
        <f t="shared" si="21"/>
        <v>26773709037.967499</v>
      </c>
      <c r="G105" s="271">
        <f t="shared" si="21"/>
        <v>30131937065.888336</v>
      </c>
      <c r="H105" s="271">
        <f t="shared" si="21"/>
        <v>33875797295.537292</v>
      </c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5"/>
      <c r="BG105" s="145"/>
      <c r="BH105" s="145"/>
      <c r="BI105" s="145"/>
      <c r="BJ105" s="145"/>
      <c r="BK105" s="145"/>
      <c r="BL105" s="145"/>
      <c r="BM105" s="145"/>
      <c r="BN105" s="145"/>
      <c r="BO105" s="145"/>
      <c r="BP105" s="145"/>
      <c r="BQ105" s="145"/>
      <c r="BR105" s="145"/>
      <c r="BS105" s="145"/>
      <c r="BT105" s="145"/>
      <c r="BU105" s="145"/>
      <c r="BV105" s="145"/>
      <c r="BW105" s="145"/>
      <c r="BX105" s="145"/>
      <c r="BY105" s="145"/>
      <c r="BZ105" s="145"/>
      <c r="CA105" s="145"/>
      <c r="CB105" s="145"/>
      <c r="CC105" s="145"/>
      <c r="CD105" s="145"/>
      <c r="CE105" s="145"/>
      <c r="CF105" s="145"/>
      <c r="CG105" s="145"/>
      <c r="CH105" s="145"/>
      <c r="CI105" s="145"/>
      <c r="CJ105" s="145"/>
      <c r="CK105" s="145"/>
      <c r="CL105" s="145"/>
      <c r="CM105" s="145"/>
      <c r="CN105" s="145"/>
      <c r="CO105" s="145"/>
      <c r="CP105" s="145"/>
      <c r="CQ105" s="145"/>
      <c r="CR105" s="145"/>
      <c r="CS105" s="145"/>
      <c r="CT105" s="145"/>
      <c r="CU105" s="145"/>
      <c r="CV105" s="145"/>
      <c r="CW105" s="145"/>
      <c r="CX105" s="145"/>
      <c r="CY105" s="145"/>
      <c r="CZ105" s="145"/>
      <c r="DA105" s="145"/>
      <c r="DB105" s="145"/>
      <c r="DC105" s="145"/>
      <c r="DD105" s="145"/>
      <c r="DE105" s="145"/>
      <c r="DF105" s="145"/>
      <c r="DG105" s="145"/>
      <c r="DH105" s="145"/>
      <c r="DI105" s="145"/>
      <c r="DJ105" s="145"/>
      <c r="DK105" s="145"/>
      <c r="DL105" s="145"/>
      <c r="DM105" s="145"/>
      <c r="DN105" s="145"/>
      <c r="DO105" s="145"/>
      <c r="DP105" s="145"/>
      <c r="DQ105" s="145"/>
      <c r="DR105" s="145"/>
      <c r="DS105" s="145"/>
      <c r="DT105" s="145"/>
      <c r="DU105" s="145"/>
      <c r="DV105" s="145"/>
      <c r="DW105" s="145"/>
      <c r="DX105" s="145"/>
      <c r="DY105" s="145"/>
      <c r="DZ105" s="145"/>
      <c r="EA105" s="145"/>
      <c r="EB105" s="145"/>
      <c r="EC105" s="145"/>
      <c r="ED105" s="145"/>
      <c r="EE105" s="145"/>
      <c r="EF105" s="145"/>
      <c r="EG105" s="145"/>
      <c r="EH105" s="145"/>
      <c r="EI105" s="145"/>
      <c r="EJ105" s="145"/>
      <c r="EK105" s="145"/>
      <c r="EL105" s="145"/>
      <c r="EM105" s="145"/>
      <c r="EN105" s="145"/>
      <c r="EO105" s="145"/>
      <c r="EP105" s="145"/>
      <c r="EQ105" s="145"/>
      <c r="ER105" s="145"/>
      <c r="ES105" s="145"/>
      <c r="ET105" s="145"/>
      <c r="EU105" s="145"/>
      <c r="EV105" s="145"/>
      <c r="EW105" s="145"/>
      <c r="EX105" s="145"/>
      <c r="EY105" s="145"/>
      <c r="EZ105" s="145"/>
      <c r="FA105" s="145"/>
      <c r="FB105" s="145"/>
      <c r="FC105" s="145"/>
      <c r="FD105" s="145"/>
      <c r="FE105" s="145"/>
      <c r="FF105" s="145"/>
      <c r="FG105" s="145"/>
      <c r="FH105" s="145"/>
      <c r="FI105" s="145"/>
      <c r="FJ105" s="145"/>
      <c r="FK105" s="145"/>
      <c r="FL105" s="145"/>
      <c r="FM105" s="145"/>
      <c r="FN105" s="145"/>
      <c r="FO105" s="145"/>
      <c r="FP105" s="145"/>
      <c r="FQ105" s="145"/>
      <c r="FR105" s="145"/>
      <c r="FS105" s="145"/>
      <c r="FT105" s="145"/>
      <c r="FU105" s="145"/>
      <c r="FV105" s="145"/>
      <c r="FW105" s="145"/>
      <c r="FX105" s="145"/>
      <c r="FY105" s="145"/>
      <c r="FZ105" s="145"/>
      <c r="GA105" s="145"/>
      <c r="GB105" s="145"/>
      <c r="GC105" s="145"/>
      <c r="GD105" s="145"/>
      <c r="GE105" s="145"/>
      <c r="GF105" s="145"/>
      <c r="GG105" s="145"/>
      <c r="GH105" s="145"/>
      <c r="GI105" s="145"/>
      <c r="GJ105" s="145"/>
      <c r="GK105" s="145"/>
      <c r="GL105" s="145"/>
      <c r="GM105" s="145"/>
      <c r="GN105" s="145"/>
      <c r="GO105" s="145"/>
      <c r="GP105" s="145"/>
      <c r="GQ105" s="145"/>
      <c r="GR105" s="145"/>
      <c r="GS105" s="145"/>
      <c r="GT105" s="145"/>
      <c r="GU105" s="145"/>
      <c r="GV105" s="145"/>
      <c r="GW105" s="145"/>
      <c r="GX105" s="145"/>
      <c r="GY105" s="145"/>
      <c r="GZ105" s="145"/>
      <c r="HA105" s="145"/>
      <c r="HB105" s="145"/>
      <c r="HC105" s="145"/>
      <c r="HD105" s="145"/>
      <c r="HE105" s="145"/>
      <c r="HF105" s="145"/>
      <c r="HG105" s="145"/>
      <c r="HH105" s="145"/>
      <c r="HI105" s="145"/>
      <c r="HJ105" s="145"/>
      <c r="HK105" s="145"/>
      <c r="HL105" s="145"/>
      <c r="HM105" s="145"/>
      <c r="HN105" s="145"/>
      <c r="HO105" s="145"/>
      <c r="HP105" s="145"/>
      <c r="HQ105" s="145"/>
      <c r="HR105" s="145"/>
      <c r="HS105" s="145"/>
      <c r="HT105" s="145"/>
      <c r="HU105" s="145"/>
      <c r="HV105" s="145"/>
      <c r="HW105" s="145"/>
      <c r="HX105" s="145"/>
      <c r="HY105" s="145"/>
      <c r="HZ105" s="145"/>
      <c r="IA105" s="145"/>
      <c r="IB105" s="145"/>
      <c r="IC105" s="145"/>
      <c r="ID105" s="145"/>
      <c r="IE105" s="145"/>
      <c r="IF105" s="145"/>
      <c r="IG105" s="145"/>
      <c r="IH105" s="145"/>
      <c r="II105" s="145"/>
      <c r="IJ105" s="145"/>
      <c r="IK105" s="145"/>
      <c r="IL105" s="145"/>
      <c r="IM105" s="145"/>
      <c r="IN105" s="145"/>
      <c r="IO105" s="145"/>
      <c r="IP105" s="145"/>
      <c r="IQ105" s="145"/>
      <c r="IR105" s="145"/>
      <c r="IS105" s="145"/>
      <c r="IT105" s="145"/>
      <c r="IU105" s="145"/>
      <c r="IV105" s="145"/>
      <c r="IW105" s="145"/>
    </row>
    <row r="106" spans="2:257" x14ac:dyDescent="0.3">
      <c r="B106" s="140" t="s">
        <v>184</v>
      </c>
      <c r="C106" s="231"/>
      <c r="D106" s="235">
        <v>0</v>
      </c>
      <c r="E106" s="235">
        <v>0</v>
      </c>
      <c r="F106" s="235">
        <f t="shared" ref="F106:H106" si="22">+F105*$C$75</f>
        <v>9370798163.2886238</v>
      </c>
      <c r="G106" s="235">
        <f t="shared" si="22"/>
        <v>10546177973.060917</v>
      </c>
      <c r="H106" s="235">
        <f t="shared" si="22"/>
        <v>11856529053.438051</v>
      </c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  <c r="DM106" s="116"/>
      <c r="DN106" s="116"/>
      <c r="DO106" s="116"/>
      <c r="DP106" s="116"/>
      <c r="DQ106" s="116"/>
      <c r="DR106" s="116"/>
      <c r="DS106" s="116"/>
      <c r="DT106" s="116"/>
      <c r="DU106" s="116"/>
      <c r="DV106" s="116"/>
      <c r="DW106" s="116"/>
      <c r="DX106" s="116"/>
      <c r="DY106" s="116"/>
      <c r="DZ106" s="116"/>
      <c r="EA106" s="116"/>
      <c r="EB106" s="116"/>
      <c r="EC106" s="116"/>
      <c r="ED106" s="116"/>
      <c r="EE106" s="116"/>
      <c r="EF106" s="116"/>
      <c r="EG106" s="116"/>
      <c r="EH106" s="116"/>
      <c r="EI106" s="116"/>
      <c r="EJ106" s="116"/>
      <c r="EK106" s="116"/>
      <c r="EL106" s="116"/>
      <c r="EM106" s="116"/>
      <c r="EN106" s="116"/>
      <c r="EO106" s="116"/>
      <c r="EP106" s="116"/>
      <c r="EQ106" s="116"/>
      <c r="ER106" s="116"/>
      <c r="ES106" s="116"/>
      <c r="ET106" s="116"/>
      <c r="EU106" s="116"/>
      <c r="EV106" s="116"/>
      <c r="EW106" s="116"/>
      <c r="EX106" s="116"/>
      <c r="EY106" s="116"/>
      <c r="EZ106" s="116"/>
      <c r="FA106" s="116"/>
      <c r="FB106" s="116"/>
      <c r="FC106" s="116"/>
      <c r="FD106" s="116"/>
      <c r="FE106" s="116"/>
      <c r="FF106" s="116"/>
      <c r="FG106" s="116"/>
      <c r="FH106" s="116"/>
      <c r="FI106" s="116"/>
      <c r="FJ106" s="116"/>
      <c r="FK106" s="116"/>
      <c r="FL106" s="116"/>
      <c r="FM106" s="116"/>
      <c r="FN106" s="116"/>
      <c r="FO106" s="116"/>
      <c r="FP106" s="116"/>
      <c r="FQ106" s="116"/>
      <c r="FR106" s="116"/>
      <c r="FS106" s="116"/>
      <c r="FT106" s="116"/>
      <c r="FU106" s="116"/>
      <c r="FV106" s="116"/>
      <c r="FW106" s="116"/>
      <c r="FX106" s="116"/>
      <c r="FY106" s="116"/>
      <c r="FZ106" s="116"/>
      <c r="GA106" s="116"/>
      <c r="GB106" s="116"/>
      <c r="GC106" s="116"/>
      <c r="GD106" s="116"/>
      <c r="GE106" s="116"/>
      <c r="GF106" s="116"/>
      <c r="GG106" s="116"/>
      <c r="GH106" s="116"/>
      <c r="GI106" s="116"/>
      <c r="GJ106" s="116"/>
      <c r="GK106" s="116"/>
      <c r="GL106" s="116"/>
      <c r="GM106" s="116"/>
      <c r="GN106" s="116"/>
      <c r="GO106" s="116"/>
      <c r="GP106" s="116"/>
      <c r="GQ106" s="116"/>
      <c r="GR106" s="116"/>
      <c r="GS106" s="116"/>
      <c r="GT106" s="116"/>
      <c r="GU106" s="116"/>
      <c r="GV106" s="116"/>
      <c r="GW106" s="116"/>
      <c r="GX106" s="116"/>
      <c r="GY106" s="116"/>
      <c r="GZ106" s="116"/>
      <c r="HA106" s="116"/>
      <c r="HB106" s="116"/>
      <c r="HC106" s="116"/>
      <c r="HD106" s="116"/>
      <c r="HE106" s="116"/>
      <c r="HF106" s="116"/>
      <c r="HG106" s="116"/>
      <c r="HH106" s="116"/>
      <c r="HI106" s="116"/>
      <c r="HJ106" s="116"/>
      <c r="HK106" s="116"/>
      <c r="HL106" s="116"/>
      <c r="HM106" s="116"/>
      <c r="HN106" s="116"/>
      <c r="HO106" s="116"/>
      <c r="HP106" s="116"/>
      <c r="HQ106" s="116"/>
      <c r="HR106" s="116"/>
      <c r="HS106" s="116"/>
      <c r="HT106" s="116"/>
      <c r="HU106" s="116"/>
      <c r="HV106" s="116"/>
      <c r="HW106" s="116"/>
      <c r="HX106" s="116"/>
      <c r="HY106" s="116"/>
      <c r="HZ106" s="116"/>
      <c r="IA106" s="116"/>
      <c r="IB106" s="116"/>
      <c r="IC106" s="116"/>
      <c r="ID106" s="116"/>
      <c r="IE106" s="116"/>
      <c r="IF106" s="116"/>
      <c r="IG106" s="116"/>
      <c r="IH106" s="116"/>
      <c r="II106" s="116"/>
      <c r="IJ106" s="116"/>
      <c r="IK106" s="116"/>
      <c r="IL106" s="116"/>
      <c r="IM106" s="116"/>
      <c r="IN106" s="116"/>
      <c r="IO106" s="116"/>
      <c r="IP106" s="116"/>
      <c r="IQ106" s="116"/>
      <c r="IR106" s="116"/>
      <c r="IS106" s="116"/>
      <c r="IT106" s="116"/>
      <c r="IU106" s="116"/>
      <c r="IV106" s="116"/>
      <c r="IW106" s="116"/>
    </row>
    <row r="107" spans="2:257" x14ac:dyDescent="0.3">
      <c r="B107" s="140" t="s">
        <v>185</v>
      </c>
      <c r="C107" s="231"/>
      <c r="D107" s="229">
        <f>+D103</f>
        <v>3000000</v>
      </c>
      <c r="E107" s="229">
        <f t="shared" ref="E107:H107" si="23">+E103</f>
        <v>3000000</v>
      </c>
      <c r="F107" s="229">
        <f t="shared" si="23"/>
        <v>3000000</v>
      </c>
      <c r="G107" s="229">
        <f t="shared" si="23"/>
        <v>3000000</v>
      </c>
      <c r="H107" s="229">
        <f t="shared" si="23"/>
        <v>3000000</v>
      </c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  <c r="CQ107" s="116"/>
      <c r="CR107" s="116"/>
      <c r="CS107" s="116"/>
      <c r="CT107" s="116"/>
      <c r="CU107" s="116"/>
      <c r="CV107" s="116"/>
      <c r="CW107" s="116"/>
      <c r="CX107" s="116"/>
      <c r="CY107" s="116"/>
      <c r="CZ107" s="116"/>
      <c r="DA107" s="116"/>
      <c r="DB107" s="116"/>
      <c r="DC107" s="116"/>
      <c r="DD107" s="116"/>
      <c r="DE107" s="116"/>
      <c r="DF107" s="116"/>
      <c r="DG107" s="116"/>
      <c r="DH107" s="116"/>
      <c r="DI107" s="116"/>
      <c r="DJ107" s="116"/>
      <c r="DK107" s="116"/>
      <c r="DL107" s="116"/>
      <c r="DM107" s="116"/>
      <c r="DN107" s="116"/>
      <c r="DO107" s="116"/>
      <c r="DP107" s="116"/>
      <c r="DQ107" s="116"/>
      <c r="DR107" s="116"/>
      <c r="DS107" s="116"/>
      <c r="DT107" s="116"/>
      <c r="DU107" s="116"/>
      <c r="DV107" s="116"/>
      <c r="DW107" s="116"/>
      <c r="DX107" s="116"/>
      <c r="DY107" s="116"/>
      <c r="DZ107" s="116"/>
      <c r="EA107" s="116"/>
      <c r="EB107" s="116"/>
      <c r="EC107" s="116"/>
      <c r="ED107" s="116"/>
      <c r="EE107" s="116"/>
      <c r="EF107" s="116"/>
      <c r="EG107" s="116"/>
      <c r="EH107" s="116"/>
      <c r="EI107" s="116"/>
      <c r="EJ107" s="116"/>
      <c r="EK107" s="116"/>
      <c r="EL107" s="116"/>
      <c r="EM107" s="116"/>
      <c r="EN107" s="116"/>
      <c r="EO107" s="116"/>
      <c r="EP107" s="116"/>
      <c r="EQ107" s="116"/>
      <c r="ER107" s="116"/>
      <c r="ES107" s="116"/>
      <c r="ET107" s="116"/>
      <c r="EU107" s="116"/>
      <c r="EV107" s="116"/>
      <c r="EW107" s="116"/>
      <c r="EX107" s="116"/>
      <c r="EY107" s="116"/>
      <c r="EZ107" s="116"/>
      <c r="FA107" s="116"/>
      <c r="FB107" s="116"/>
      <c r="FC107" s="116"/>
      <c r="FD107" s="116"/>
      <c r="FE107" s="116"/>
      <c r="FF107" s="116"/>
      <c r="FG107" s="116"/>
      <c r="FH107" s="116"/>
      <c r="FI107" s="116"/>
      <c r="FJ107" s="116"/>
      <c r="FK107" s="116"/>
      <c r="FL107" s="116"/>
      <c r="FM107" s="116"/>
      <c r="FN107" s="116"/>
      <c r="FO107" s="116"/>
      <c r="FP107" s="116"/>
      <c r="FQ107" s="116"/>
      <c r="FR107" s="116"/>
      <c r="FS107" s="116"/>
      <c r="FT107" s="116"/>
      <c r="FU107" s="116"/>
      <c r="FV107" s="116"/>
      <c r="FW107" s="116"/>
      <c r="FX107" s="116"/>
      <c r="FY107" s="116"/>
      <c r="FZ107" s="116"/>
      <c r="GA107" s="116"/>
      <c r="GB107" s="116"/>
      <c r="GC107" s="116"/>
      <c r="GD107" s="116"/>
      <c r="GE107" s="116"/>
      <c r="GF107" s="116"/>
      <c r="GG107" s="116"/>
      <c r="GH107" s="116"/>
      <c r="GI107" s="116"/>
      <c r="GJ107" s="116"/>
      <c r="GK107" s="116"/>
      <c r="GL107" s="116"/>
      <c r="GM107" s="116"/>
      <c r="GN107" s="116"/>
      <c r="GO107" s="116"/>
      <c r="GP107" s="116"/>
      <c r="GQ107" s="116"/>
      <c r="GR107" s="116"/>
      <c r="GS107" s="116"/>
      <c r="GT107" s="116"/>
      <c r="GU107" s="116"/>
      <c r="GV107" s="116"/>
      <c r="GW107" s="116"/>
      <c r="GX107" s="116"/>
      <c r="GY107" s="116"/>
      <c r="GZ107" s="116"/>
      <c r="HA107" s="116"/>
      <c r="HB107" s="116"/>
      <c r="HC107" s="116"/>
      <c r="HD107" s="116"/>
      <c r="HE107" s="116"/>
      <c r="HF107" s="116"/>
      <c r="HG107" s="116"/>
      <c r="HH107" s="116"/>
      <c r="HI107" s="116"/>
      <c r="HJ107" s="116"/>
      <c r="HK107" s="116"/>
      <c r="HL107" s="116"/>
      <c r="HM107" s="116"/>
      <c r="HN107" s="116"/>
      <c r="HO107" s="116"/>
      <c r="HP107" s="116"/>
      <c r="HQ107" s="116"/>
      <c r="HR107" s="116"/>
      <c r="HS107" s="116"/>
      <c r="HT107" s="116"/>
      <c r="HU107" s="116"/>
      <c r="HV107" s="116"/>
      <c r="HW107" s="116"/>
      <c r="HX107" s="116"/>
      <c r="HY107" s="116"/>
      <c r="HZ107" s="116"/>
      <c r="IA107" s="116"/>
      <c r="IB107" s="116"/>
      <c r="IC107" s="116"/>
      <c r="ID107" s="116"/>
      <c r="IE107" s="116"/>
      <c r="IF107" s="116"/>
      <c r="IG107" s="116"/>
      <c r="IH107" s="116"/>
      <c r="II107" s="116"/>
      <c r="IJ107" s="116"/>
      <c r="IK107" s="116"/>
      <c r="IL107" s="116"/>
      <c r="IM107" s="116"/>
      <c r="IN107" s="116"/>
      <c r="IO107" s="116"/>
      <c r="IP107" s="116"/>
      <c r="IQ107" s="116"/>
      <c r="IR107" s="116"/>
      <c r="IS107" s="116"/>
      <c r="IT107" s="116"/>
      <c r="IU107" s="116"/>
      <c r="IV107" s="116"/>
      <c r="IW107" s="116"/>
    </row>
    <row r="108" spans="2:257" x14ac:dyDescent="0.3">
      <c r="B108" s="140" t="s">
        <v>186</v>
      </c>
      <c r="C108" s="231"/>
      <c r="D108" s="229">
        <f>+D104</f>
        <v>5016000</v>
      </c>
      <c r="E108" s="229">
        <f t="shared" ref="E108:H108" si="24">+E104</f>
        <v>5016000</v>
      </c>
      <c r="F108" s="229">
        <f t="shared" si="24"/>
        <v>5016000</v>
      </c>
      <c r="G108" s="229">
        <f t="shared" si="24"/>
        <v>5016000</v>
      </c>
      <c r="H108" s="229">
        <f t="shared" si="24"/>
        <v>5016000</v>
      </c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  <c r="BD108" s="116"/>
      <c r="BE108" s="116"/>
      <c r="BF108" s="116"/>
      <c r="BG108" s="116"/>
      <c r="BH108" s="116"/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  <c r="DC108" s="116"/>
      <c r="DD108" s="116"/>
      <c r="DE108" s="116"/>
      <c r="DF108" s="116"/>
      <c r="DG108" s="116"/>
      <c r="DH108" s="116"/>
      <c r="DI108" s="116"/>
      <c r="DJ108" s="116"/>
      <c r="DK108" s="116"/>
      <c r="DL108" s="116"/>
      <c r="DM108" s="116"/>
      <c r="DN108" s="116"/>
      <c r="DO108" s="116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16"/>
      <c r="EC108" s="116"/>
      <c r="ED108" s="116"/>
      <c r="EE108" s="116"/>
      <c r="EF108" s="116"/>
      <c r="EG108" s="116"/>
      <c r="EH108" s="116"/>
      <c r="EI108" s="116"/>
      <c r="EJ108" s="116"/>
      <c r="EK108" s="116"/>
      <c r="EL108" s="116"/>
      <c r="EM108" s="116"/>
      <c r="EN108" s="116"/>
      <c r="EO108" s="116"/>
      <c r="EP108" s="116"/>
      <c r="EQ108" s="116"/>
      <c r="ER108" s="116"/>
      <c r="ES108" s="116"/>
      <c r="ET108" s="116"/>
      <c r="EU108" s="116"/>
      <c r="EV108" s="116"/>
      <c r="EW108" s="116"/>
      <c r="EX108" s="116"/>
      <c r="EY108" s="116"/>
      <c r="EZ108" s="116"/>
      <c r="FA108" s="116"/>
      <c r="FB108" s="116"/>
      <c r="FC108" s="116"/>
      <c r="FD108" s="116"/>
      <c r="FE108" s="116"/>
      <c r="FF108" s="116"/>
      <c r="FG108" s="116"/>
      <c r="FH108" s="116"/>
      <c r="FI108" s="116"/>
      <c r="FJ108" s="116"/>
      <c r="FK108" s="116"/>
      <c r="FL108" s="116"/>
      <c r="FM108" s="116"/>
      <c r="FN108" s="116"/>
      <c r="FO108" s="116"/>
      <c r="FP108" s="116"/>
      <c r="FQ108" s="116"/>
      <c r="FR108" s="116"/>
      <c r="FS108" s="116"/>
      <c r="FT108" s="116"/>
      <c r="FU108" s="116"/>
      <c r="FV108" s="116"/>
      <c r="FW108" s="116"/>
      <c r="FX108" s="116"/>
      <c r="FY108" s="116"/>
      <c r="FZ108" s="116"/>
      <c r="GA108" s="116"/>
      <c r="GB108" s="116"/>
      <c r="GC108" s="116"/>
      <c r="GD108" s="116"/>
      <c r="GE108" s="116"/>
      <c r="GF108" s="116"/>
      <c r="GG108" s="116"/>
      <c r="GH108" s="116"/>
      <c r="GI108" s="116"/>
      <c r="GJ108" s="116"/>
      <c r="GK108" s="116"/>
      <c r="GL108" s="116"/>
      <c r="GM108" s="116"/>
      <c r="GN108" s="116"/>
      <c r="GO108" s="116"/>
      <c r="GP108" s="116"/>
      <c r="GQ108" s="116"/>
      <c r="GR108" s="116"/>
      <c r="GS108" s="116"/>
      <c r="GT108" s="116"/>
      <c r="GU108" s="116"/>
      <c r="GV108" s="116"/>
      <c r="GW108" s="116"/>
      <c r="GX108" s="116"/>
      <c r="GY108" s="116"/>
      <c r="GZ108" s="116"/>
      <c r="HA108" s="116"/>
      <c r="HB108" s="116"/>
      <c r="HC108" s="116"/>
      <c r="HD108" s="116"/>
      <c r="HE108" s="116"/>
      <c r="HF108" s="116"/>
      <c r="HG108" s="116"/>
      <c r="HH108" s="116"/>
      <c r="HI108" s="116"/>
      <c r="HJ108" s="116"/>
      <c r="HK108" s="116"/>
      <c r="HL108" s="116"/>
      <c r="HM108" s="116"/>
      <c r="HN108" s="116"/>
      <c r="HO108" s="116"/>
      <c r="HP108" s="116"/>
      <c r="HQ108" s="116"/>
      <c r="HR108" s="116"/>
      <c r="HS108" s="116"/>
      <c r="HT108" s="116"/>
      <c r="HU108" s="116"/>
      <c r="HV108" s="116"/>
      <c r="HW108" s="116"/>
      <c r="HX108" s="116"/>
      <c r="HY108" s="116"/>
      <c r="HZ108" s="116"/>
      <c r="IA108" s="116"/>
      <c r="IB108" s="116"/>
      <c r="IC108" s="116"/>
      <c r="ID108" s="116"/>
      <c r="IE108" s="116"/>
      <c r="IF108" s="116"/>
      <c r="IG108" s="116"/>
      <c r="IH108" s="116"/>
      <c r="II108" s="116"/>
      <c r="IJ108" s="116"/>
      <c r="IK108" s="116"/>
      <c r="IL108" s="116"/>
      <c r="IM108" s="116"/>
      <c r="IN108" s="116"/>
      <c r="IO108" s="116"/>
      <c r="IP108" s="116"/>
      <c r="IQ108" s="116"/>
      <c r="IR108" s="116"/>
      <c r="IS108" s="116"/>
      <c r="IT108" s="116"/>
      <c r="IU108" s="116"/>
      <c r="IV108" s="116"/>
      <c r="IW108" s="116"/>
    </row>
    <row r="109" spans="2:257" x14ac:dyDescent="0.3">
      <c r="B109" s="158" t="s">
        <v>187</v>
      </c>
      <c r="C109" s="235">
        <f t="shared" ref="C109:H110" si="25">+C27</f>
        <v>30705000</v>
      </c>
      <c r="D109" s="235">
        <f t="shared" si="25"/>
        <v>0</v>
      </c>
      <c r="E109" s="235">
        <f t="shared" si="25"/>
        <v>11674218.183878249</v>
      </c>
      <c r="F109" s="235">
        <f t="shared" si="25"/>
        <v>0</v>
      </c>
      <c r="G109" s="235">
        <f t="shared" si="25"/>
        <v>0</v>
      </c>
      <c r="H109" s="235">
        <f t="shared" si="25"/>
        <v>2398226.1808879329</v>
      </c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  <c r="BM109" s="116"/>
      <c r="BN109" s="116"/>
      <c r="BO109" s="116"/>
      <c r="BP109" s="116"/>
      <c r="BQ109" s="116"/>
      <c r="BR109" s="116"/>
      <c r="BS109" s="116"/>
      <c r="BT109" s="116"/>
      <c r="BU109" s="116"/>
      <c r="BV109" s="116"/>
      <c r="BW109" s="116"/>
      <c r="BX109" s="116"/>
      <c r="BY109" s="116"/>
      <c r="BZ109" s="116"/>
      <c r="CA109" s="116"/>
      <c r="CB109" s="116"/>
      <c r="CC109" s="116"/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  <c r="DC109" s="116"/>
      <c r="DD109" s="116"/>
      <c r="DE109" s="116"/>
      <c r="DF109" s="116"/>
      <c r="DG109" s="116"/>
      <c r="DH109" s="116"/>
      <c r="DI109" s="116"/>
      <c r="DJ109" s="116"/>
      <c r="DK109" s="116"/>
      <c r="DL109" s="116"/>
      <c r="DM109" s="116"/>
      <c r="DN109" s="116"/>
      <c r="DO109" s="116"/>
      <c r="DP109" s="116"/>
      <c r="DQ109" s="116"/>
      <c r="DR109" s="116"/>
      <c r="DS109" s="116"/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/>
      <c r="EI109" s="116"/>
      <c r="EJ109" s="116"/>
      <c r="EK109" s="116"/>
      <c r="EL109" s="116"/>
      <c r="EM109" s="116"/>
      <c r="EN109" s="116"/>
      <c r="EO109" s="116"/>
      <c r="EP109" s="116"/>
      <c r="EQ109" s="116"/>
      <c r="ER109" s="116"/>
      <c r="ES109" s="116"/>
      <c r="ET109" s="116"/>
      <c r="EU109" s="116"/>
      <c r="EV109" s="116"/>
      <c r="EW109" s="116"/>
      <c r="EX109" s="116"/>
      <c r="EY109" s="116"/>
      <c r="EZ109" s="116"/>
      <c r="FA109" s="116"/>
      <c r="FB109" s="116"/>
      <c r="FC109" s="116"/>
      <c r="FD109" s="116"/>
      <c r="FE109" s="116"/>
      <c r="FF109" s="116"/>
      <c r="FG109" s="116"/>
      <c r="FH109" s="116"/>
      <c r="FI109" s="116"/>
      <c r="FJ109" s="116"/>
      <c r="FK109" s="116"/>
      <c r="FL109" s="116"/>
      <c r="FM109" s="116"/>
      <c r="FN109" s="116"/>
      <c r="FO109" s="116"/>
      <c r="FP109" s="116"/>
      <c r="FQ109" s="116"/>
      <c r="FR109" s="116"/>
      <c r="FS109" s="116"/>
      <c r="FT109" s="116"/>
      <c r="FU109" s="116"/>
      <c r="FV109" s="116"/>
      <c r="FW109" s="116"/>
      <c r="FX109" s="116"/>
      <c r="FY109" s="116"/>
      <c r="FZ109" s="116"/>
      <c r="GA109" s="116"/>
      <c r="GB109" s="116"/>
      <c r="GC109" s="116"/>
      <c r="GD109" s="116"/>
      <c r="GE109" s="116"/>
      <c r="GF109" s="116"/>
      <c r="GG109" s="116"/>
      <c r="GH109" s="116"/>
      <c r="GI109" s="116"/>
      <c r="GJ109" s="116"/>
      <c r="GK109" s="116"/>
      <c r="GL109" s="116"/>
      <c r="GM109" s="116"/>
      <c r="GN109" s="116"/>
      <c r="GO109" s="116"/>
      <c r="GP109" s="116"/>
      <c r="GQ109" s="116"/>
      <c r="GR109" s="116"/>
      <c r="GS109" s="116"/>
      <c r="GT109" s="116"/>
      <c r="GU109" s="116"/>
      <c r="GV109" s="116"/>
      <c r="GW109" s="116"/>
      <c r="GX109" s="116"/>
      <c r="GY109" s="116"/>
      <c r="GZ109" s="116"/>
      <c r="HA109" s="116"/>
      <c r="HB109" s="116"/>
      <c r="HC109" s="116"/>
      <c r="HD109" s="116"/>
      <c r="HE109" s="116"/>
      <c r="HF109" s="116"/>
      <c r="HG109" s="116"/>
      <c r="HH109" s="116"/>
      <c r="HI109" s="116"/>
      <c r="HJ109" s="116"/>
      <c r="HK109" s="116"/>
      <c r="HL109" s="116"/>
      <c r="HM109" s="116"/>
      <c r="HN109" s="116"/>
      <c r="HO109" s="116"/>
      <c r="HP109" s="116"/>
      <c r="HQ109" s="116"/>
      <c r="HR109" s="116"/>
      <c r="HS109" s="116"/>
      <c r="HT109" s="116"/>
      <c r="HU109" s="116"/>
      <c r="HV109" s="116"/>
      <c r="HW109" s="116"/>
      <c r="HX109" s="116"/>
      <c r="HY109" s="116"/>
      <c r="HZ109" s="116"/>
      <c r="IA109" s="116"/>
      <c r="IB109" s="116"/>
      <c r="IC109" s="116"/>
      <c r="ID109" s="116"/>
      <c r="IE109" s="116"/>
      <c r="IF109" s="116"/>
      <c r="IG109" s="116"/>
      <c r="IH109" s="116"/>
      <c r="II109" s="116"/>
      <c r="IJ109" s="116"/>
      <c r="IK109" s="116"/>
      <c r="IL109" s="116"/>
      <c r="IM109" s="116"/>
      <c r="IN109" s="116"/>
      <c r="IO109" s="116"/>
      <c r="IP109" s="116"/>
      <c r="IQ109" s="116"/>
      <c r="IR109" s="116"/>
      <c r="IS109" s="116"/>
      <c r="IT109" s="116"/>
      <c r="IU109" s="116"/>
      <c r="IV109" s="116"/>
      <c r="IW109" s="116"/>
    </row>
    <row r="110" spans="2:257" x14ac:dyDescent="0.3">
      <c r="B110" s="158" t="s">
        <v>188</v>
      </c>
      <c r="C110" s="235">
        <f t="shared" si="25"/>
        <v>40000000</v>
      </c>
      <c r="D110" s="235">
        <f t="shared" si="25"/>
        <v>0</v>
      </c>
      <c r="E110" s="235">
        <f t="shared" si="25"/>
        <v>0</v>
      </c>
      <c r="F110" s="235">
        <f t="shared" si="25"/>
        <v>0</v>
      </c>
      <c r="G110" s="235">
        <f t="shared" si="25"/>
        <v>0</v>
      </c>
      <c r="H110" s="235">
        <f t="shared" si="25"/>
        <v>0</v>
      </c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BZ110" s="116"/>
      <c r="CA110" s="116"/>
      <c r="CB110" s="116"/>
      <c r="CC110" s="116"/>
      <c r="CD110" s="116"/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  <c r="DC110" s="116"/>
      <c r="DD110" s="116"/>
      <c r="DE110" s="116"/>
      <c r="DF110" s="116"/>
      <c r="DG110" s="116"/>
      <c r="DH110" s="116"/>
      <c r="DI110" s="116"/>
      <c r="DJ110" s="116"/>
      <c r="DK110" s="116"/>
      <c r="DL110" s="116"/>
      <c r="DM110" s="116"/>
      <c r="DN110" s="116"/>
      <c r="DO110" s="116"/>
      <c r="DP110" s="116"/>
      <c r="DQ110" s="116"/>
      <c r="DR110" s="116"/>
      <c r="DS110" s="116"/>
      <c r="DT110" s="116"/>
      <c r="DU110" s="116"/>
      <c r="DV110" s="116"/>
      <c r="DW110" s="116"/>
      <c r="DX110" s="116"/>
      <c r="DY110" s="116"/>
      <c r="DZ110" s="116"/>
      <c r="EA110" s="116"/>
      <c r="EB110" s="116"/>
      <c r="EC110" s="116"/>
      <c r="ED110" s="116"/>
      <c r="EE110" s="116"/>
      <c r="EF110" s="116"/>
      <c r="EG110" s="116"/>
      <c r="EH110" s="116"/>
      <c r="EI110" s="116"/>
      <c r="EJ110" s="116"/>
      <c r="EK110" s="116"/>
      <c r="EL110" s="116"/>
      <c r="EM110" s="116"/>
      <c r="EN110" s="116"/>
      <c r="EO110" s="116"/>
      <c r="EP110" s="116"/>
      <c r="EQ110" s="116"/>
      <c r="ER110" s="116"/>
      <c r="ES110" s="116"/>
      <c r="ET110" s="116"/>
      <c r="EU110" s="116"/>
      <c r="EV110" s="116"/>
      <c r="EW110" s="116"/>
      <c r="EX110" s="116"/>
      <c r="EY110" s="116"/>
      <c r="EZ110" s="116"/>
      <c r="FA110" s="116"/>
      <c r="FB110" s="116"/>
      <c r="FC110" s="116"/>
      <c r="FD110" s="116"/>
      <c r="FE110" s="116"/>
      <c r="FF110" s="116"/>
      <c r="FG110" s="116"/>
      <c r="FH110" s="116"/>
      <c r="FI110" s="116"/>
      <c r="FJ110" s="116"/>
      <c r="FK110" s="116"/>
      <c r="FL110" s="116"/>
      <c r="FM110" s="116"/>
      <c r="FN110" s="116"/>
      <c r="FO110" s="116"/>
      <c r="FP110" s="116"/>
      <c r="FQ110" s="116"/>
      <c r="FR110" s="116"/>
      <c r="FS110" s="116"/>
      <c r="FT110" s="116"/>
      <c r="FU110" s="116"/>
      <c r="FV110" s="116"/>
      <c r="FW110" s="116"/>
      <c r="FX110" s="116"/>
      <c r="FY110" s="116"/>
      <c r="FZ110" s="116"/>
      <c r="GA110" s="116"/>
      <c r="GB110" s="116"/>
      <c r="GC110" s="116"/>
      <c r="GD110" s="116"/>
      <c r="GE110" s="116"/>
      <c r="GF110" s="116"/>
      <c r="GG110" s="116"/>
      <c r="GH110" s="116"/>
      <c r="GI110" s="116"/>
      <c r="GJ110" s="116"/>
      <c r="GK110" s="116"/>
      <c r="GL110" s="116"/>
      <c r="GM110" s="116"/>
      <c r="GN110" s="116"/>
      <c r="GO110" s="116"/>
      <c r="GP110" s="116"/>
      <c r="GQ110" s="116"/>
      <c r="GR110" s="116"/>
      <c r="GS110" s="116"/>
      <c r="GT110" s="116"/>
      <c r="GU110" s="116"/>
      <c r="GV110" s="116"/>
      <c r="GW110" s="116"/>
      <c r="GX110" s="116"/>
      <c r="GY110" s="116"/>
      <c r="GZ110" s="116"/>
      <c r="HA110" s="116"/>
      <c r="HB110" s="116"/>
      <c r="HC110" s="116"/>
      <c r="HD110" s="116"/>
      <c r="HE110" s="116"/>
      <c r="HF110" s="116"/>
      <c r="HG110" s="116"/>
      <c r="HH110" s="116"/>
      <c r="HI110" s="116"/>
      <c r="HJ110" s="116"/>
      <c r="HK110" s="116"/>
      <c r="HL110" s="116"/>
      <c r="HM110" s="116"/>
      <c r="HN110" s="116"/>
      <c r="HO110" s="116"/>
      <c r="HP110" s="116"/>
      <c r="HQ110" s="116"/>
      <c r="HR110" s="116"/>
      <c r="HS110" s="116"/>
      <c r="HT110" s="116"/>
      <c r="HU110" s="116"/>
      <c r="HV110" s="116"/>
      <c r="HW110" s="116"/>
      <c r="HX110" s="116"/>
      <c r="HY110" s="116"/>
      <c r="HZ110" s="116"/>
      <c r="IA110" s="116"/>
      <c r="IB110" s="116"/>
      <c r="IC110" s="116"/>
      <c r="ID110" s="116"/>
      <c r="IE110" s="116"/>
      <c r="IF110" s="116"/>
      <c r="IG110" s="116"/>
      <c r="IH110" s="116"/>
      <c r="II110" s="116"/>
      <c r="IJ110" s="116"/>
      <c r="IK110" s="116"/>
      <c r="IL110" s="116"/>
      <c r="IM110" s="116"/>
      <c r="IN110" s="116"/>
      <c r="IO110" s="116"/>
      <c r="IP110" s="116"/>
      <c r="IQ110" s="116"/>
      <c r="IR110" s="116"/>
      <c r="IS110" s="116"/>
      <c r="IT110" s="116"/>
      <c r="IU110" s="116"/>
      <c r="IV110" s="116"/>
      <c r="IW110" s="116"/>
    </row>
    <row r="111" spans="2:257" x14ac:dyDescent="0.3">
      <c r="B111" s="158" t="s">
        <v>189</v>
      </c>
      <c r="C111" s="235">
        <f>+C29</f>
        <v>0</v>
      </c>
      <c r="D111" s="235">
        <v>0</v>
      </c>
      <c r="E111" s="235">
        <v>0</v>
      </c>
      <c r="F111" s="235">
        <v>0</v>
      </c>
      <c r="G111" s="235">
        <v>0</v>
      </c>
      <c r="H111" s="235">
        <v>0</v>
      </c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6"/>
      <c r="AU111" s="116"/>
      <c r="AV111" s="116"/>
      <c r="AW111" s="116"/>
      <c r="AX111" s="116"/>
      <c r="AY111" s="116"/>
      <c r="AZ111" s="116"/>
      <c r="BA111" s="116"/>
      <c r="BB111" s="116"/>
      <c r="BC111" s="116"/>
      <c r="BD111" s="116"/>
      <c r="BE111" s="116"/>
      <c r="BF111" s="116"/>
      <c r="BG111" s="116"/>
      <c r="BH111" s="116"/>
      <c r="BI111" s="116"/>
      <c r="BJ111" s="116"/>
      <c r="BK111" s="116"/>
      <c r="BL111" s="116"/>
      <c r="BM111" s="116"/>
      <c r="BN111" s="116"/>
      <c r="BO111" s="116"/>
      <c r="BP111" s="116"/>
      <c r="BQ111" s="116"/>
      <c r="BR111" s="116"/>
      <c r="BS111" s="116"/>
      <c r="BT111" s="116"/>
      <c r="BU111" s="116"/>
      <c r="BV111" s="116"/>
      <c r="BW111" s="116"/>
      <c r="BX111" s="116"/>
      <c r="BY111" s="116"/>
      <c r="BZ111" s="116"/>
      <c r="CA111" s="116"/>
      <c r="CB111" s="116"/>
      <c r="CC111" s="116"/>
      <c r="CD111" s="116"/>
      <c r="CE111" s="116"/>
      <c r="CF111" s="116"/>
      <c r="CG111" s="116"/>
      <c r="CH111" s="116"/>
      <c r="CI111" s="116"/>
      <c r="CJ111" s="116"/>
      <c r="CK111" s="116"/>
      <c r="CL111" s="116"/>
      <c r="CM111" s="116"/>
      <c r="CN111" s="116"/>
      <c r="CO111" s="116"/>
      <c r="CP111" s="116"/>
      <c r="CQ111" s="116"/>
      <c r="CR111" s="116"/>
      <c r="CS111" s="116"/>
      <c r="CT111" s="116"/>
      <c r="CU111" s="116"/>
      <c r="CV111" s="116"/>
      <c r="CW111" s="116"/>
      <c r="CX111" s="116"/>
      <c r="CY111" s="116"/>
      <c r="CZ111" s="116"/>
      <c r="DA111" s="116"/>
      <c r="DB111" s="116"/>
      <c r="DC111" s="116"/>
      <c r="DD111" s="116"/>
      <c r="DE111" s="116"/>
      <c r="DF111" s="116"/>
      <c r="DG111" s="116"/>
      <c r="DH111" s="116"/>
      <c r="DI111" s="116"/>
      <c r="DJ111" s="116"/>
      <c r="DK111" s="116"/>
      <c r="DL111" s="116"/>
      <c r="DM111" s="116"/>
      <c r="DN111" s="116"/>
      <c r="DO111" s="116"/>
      <c r="DP111" s="116"/>
      <c r="DQ111" s="116"/>
      <c r="DR111" s="116"/>
      <c r="DS111" s="116"/>
      <c r="DT111" s="116"/>
      <c r="DU111" s="116"/>
      <c r="DV111" s="116"/>
      <c r="DW111" s="116"/>
      <c r="DX111" s="116"/>
      <c r="DY111" s="116"/>
      <c r="DZ111" s="116"/>
      <c r="EA111" s="116"/>
      <c r="EB111" s="116"/>
      <c r="EC111" s="116"/>
      <c r="ED111" s="116"/>
      <c r="EE111" s="116"/>
      <c r="EF111" s="116"/>
      <c r="EG111" s="116"/>
      <c r="EH111" s="116"/>
      <c r="EI111" s="116"/>
      <c r="EJ111" s="116"/>
      <c r="EK111" s="116"/>
      <c r="EL111" s="116"/>
      <c r="EM111" s="116"/>
      <c r="EN111" s="116"/>
      <c r="EO111" s="116"/>
      <c r="EP111" s="116"/>
      <c r="EQ111" s="116"/>
      <c r="ER111" s="116"/>
      <c r="ES111" s="116"/>
      <c r="ET111" s="116"/>
      <c r="EU111" s="116"/>
      <c r="EV111" s="116"/>
      <c r="EW111" s="116"/>
      <c r="EX111" s="116"/>
      <c r="EY111" s="116"/>
      <c r="EZ111" s="116"/>
      <c r="FA111" s="116"/>
      <c r="FB111" s="116"/>
      <c r="FC111" s="116"/>
      <c r="FD111" s="116"/>
      <c r="FE111" s="116"/>
      <c r="FF111" s="116"/>
      <c r="FG111" s="116"/>
      <c r="FH111" s="116"/>
      <c r="FI111" s="116"/>
      <c r="FJ111" s="116"/>
      <c r="FK111" s="116"/>
      <c r="FL111" s="116"/>
      <c r="FM111" s="116"/>
      <c r="FN111" s="116"/>
      <c r="FO111" s="116"/>
      <c r="FP111" s="116"/>
      <c r="FQ111" s="116"/>
      <c r="FR111" s="116"/>
      <c r="FS111" s="116"/>
      <c r="FT111" s="116"/>
      <c r="FU111" s="116"/>
      <c r="FV111" s="116"/>
      <c r="FW111" s="116"/>
      <c r="FX111" s="116"/>
      <c r="FY111" s="116"/>
      <c r="FZ111" s="116"/>
      <c r="GA111" s="116"/>
      <c r="GB111" s="116"/>
      <c r="GC111" s="116"/>
      <c r="GD111" s="116"/>
      <c r="GE111" s="116"/>
      <c r="GF111" s="116"/>
      <c r="GG111" s="116"/>
      <c r="GH111" s="116"/>
      <c r="GI111" s="116"/>
      <c r="GJ111" s="116"/>
      <c r="GK111" s="116"/>
      <c r="GL111" s="116"/>
      <c r="GM111" s="116"/>
      <c r="GN111" s="116"/>
      <c r="GO111" s="116"/>
      <c r="GP111" s="116"/>
      <c r="GQ111" s="116"/>
      <c r="GR111" s="116"/>
      <c r="GS111" s="116"/>
      <c r="GT111" s="116"/>
      <c r="GU111" s="116"/>
      <c r="GV111" s="116"/>
      <c r="GW111" s="116"/>
      <c r="GX111" s="116"/>
      <c r="GY111" s="116"/>
      <c r="GZ111" s="116"/>
      <c r="HA111" s="116"/>
      <c r="HB111" s="116"/>
      <c r="HC111" s="116"/>
      <c r="HD111" s="116"/>
      <c r="HE111" s="116"/>
      <c r="HF111" s="116"/>
      <c r="HG111" s="116"/>
      <c r="HH111" s="116"/>
      <c r="HI111" s="116"/>
      <c r="HJ111" s="116"/>
      <c r="HK111" s="116"/>
      <c r="HL111" s="116"/>
      <c r="HM111" s="116"/>
      <c r="HN111" s="116"/>
      <c r="HO111" s="116"/>
      <c r="HP111" s="116"/>
      <c r="HQ111" s="116"/>
      <c r="HR111" s="116"/>
      <c r="HS111" s="116"/>
      <c r="HT111" s="116"/>
      <c r="HU111" s="116"/>
      <c r="HV111" s="116"/>
      <c r="HW111" s="116"/>
      <c r="HX111" s="116"/>
      <c r="HY111" s="116"/>
      <c r="HZ111" s="116"/>
      <c r="IA111" s="116"/>
      <c r="IB111" s="116"/>
      <c r="IC111" s="116"/>
      <c r="ID111" s="116"/>
      <c r="IE111" s="116"/>
      <c r="IF111" s="116"/>
      <c r="IG111" s="116"/>
      <c r="IH111" s="116"/>
      <c r="II111" s="116"/>
      <c r="IJ111" s="116"/>
      <c r="IK111" s="116"/>
      <c r="IL111" s="116"/>
      <c r="IM111" s="116"/>
      <c r="IN111" s="116"/>
      <c r="IO111" s="116"/>
      <c r="IP111" s="116"/>
      <c r="IQ111" s="116"/>
      <c r="IR111" s="116"/>
      <c r="IS111" s="116"/>
      <c r="IT111" s="116"/>
      <c r="IU111" s="116"/>
      <c r="IV111" s="116"/>
      <c r="IW111" s="116"/>
    </row>
    <row r="112" spans="2:257" x14ac:dyDescent="0.3">
      <c r="B112" s="158" t="s">
        <v>190</v>
      </c>
      <c r="C112" s="235">
        <f>+C30</f>
        <v>0</v>
      </c>
      <c r="D112" s="235">
        <f>+D30</f>
        <v>9426013316.5295601</v>
      </c>
      <c r="E112" s="235">
        <f t="shared" ref="E112:H112" si="26">+E30</f>
        <v>968283302.43560219</v>
      </c>
      <c r="F112" s="235">
        <f t="shared" si="26"/>
        <v>1219966080.0382061</v>
      </c>
      <c r="G112" s="235">
        <f t="shared" si="26"/>
        <v>1208294085.2667618</v>
      </c>
      <c r="H112" s="235">
        <f t="shared" si="26"/>
        <v>1333269502.1509628</v>
      </c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116"/>
      <c r="BN112" s="116"/>
      <c r="BO112" s="116"/>
      <c r="BP112" s="116"/>
      <c r="BQ112" s="116"/>
      <c r="BR112" s="116"/>
      <c r="BS112" s="116"/>
      <c r="BT112" s="116"/>
      <c r="BU112" s="116"/>
      <c r="BV112" s="116"/>
      <c r="BW112" s="116"/>
      <c r="BX112" s="116"/>
      <c r="BY112" s="116"/>
      <c r="BZ112" s="116"/>
      <c r="CA112" s="116"/>
      <c r="CB112" s="116"/>
      <c r="CC112" s="116"/>
      <c r="CD112" s="116"/>
      <c r="CE112" s="116"/>
      <c r="CF112" s="116"/>
      <c r="CG112" s="116"/>
      <c r="CH112" s="116"/>
      <c r="CI112" s="116"/>
      <c r="CJ112" s="116"/>
      <c r="CK112" s="116"/>
      <c r="CL112" s="116"/>
      <c r="CM112" s="116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116"/>
      <c r="CY112" s="116"/>
      <c r="CZ112" s="116"/>
      <c r="DA112" s="116"/>
      <c r="DB112" s="116"/>
      <c r="DC112" s="116"/>
      <c r="DD112" s="116"/>
      <c r="DE112" s="116"/>
      <c r="DF112" s="116"/>
      <c r="DG112" s="116"/>
      <c r="DH112" s="116"/>
      <c r="DI112" s="116"/>
      <c r="DJ112" s="116"/>
      <c r="DK112" s="116"/>
      <c r="DL112" s="116"/>
      <c r="DM112" s="116"/>
      <c r="DN112" s="116"/>
      <c r="DO112" s="116"/>
      <c r="DP112" s="116"/>
      <c r="DQ112" s="116"/>
      <c r="DR112" s="116"/>
      <c r="DS112" s="116"/>
      <c r="DT112" s="116"/>
      <c r="DU112" s="116"/>
      <c r="DV112" s="116"/>
      <c r="DW112" s="116"/>
      <c r="DX112" s="116"/>
      <c r="DY112" s="116"/>
      <c r="DZ112" s="116"/>
      <c r="EA112" s="116"/>
      <c r="EB112" s="116"/>
      <c r="EC112" s="116"/>
      <c r="ED112" s="116"/>
      <c r="EE112" s="116"/>
      <c r="EF112" s="116"/>
      <c r="EG112" s="116"/>
      <c r="EH112" s="116"/>
      <c r="EI112" s="116"/>
      <c r="EJ112" s="116"/>
      <c r="EK112" s="116"/>
      <c r="EL112" s="116"/>
      <c r="EM112" s="116"/>
      <c r="EN112" s="116"/>
      <c r="EO112" s="116"/>
      <c r="EP112" s="116"/>
      <c r="EQ112" s="116"/>
      <c r="ER112" s="116"/>
      <c r="ES112" s="116"/>
      <c r="ET112" s="116"/>
      <c r="EU112" s="116"/>
      <c r="EV112" s="116"/>
      <c r="EW112" s="116"/>
      <c r="EX112" s="116"/>
      <c r="EY112" s="116"/>
      <c r="EZ112" s="116"/>
      <c r="FA112" s="116"/>
      <c r="FB112" s="116"/>
      <c r="FC112" s="116"/>
      <c r="FD112" s="116"/>
      <c r="FE112" s="116"/>
      <c r="FF112" s="116"/>
      <c r="FG112" s="116"/>
      <c r="FH112" s="116"/>
      <c r="FI112" s="116"/>
      <c r="FJ112" s="116"/>
      <c r="FK112" s="116"/>
      <c r="FL112" s="116"/>
      <c r="FM112" s="116"/>
      <c r="FN112" s="116"/>
      <c r="FO112" s="116"/>
      <c r="FP112" s="116"/>
      <c r="FQ112" s="116"/>
      <c r="FR112" s="116"/>
      <c r="FS112" s="116"/>
      <c r="FT112" s="116"/>
      <c r="FU112" s="116"/>
      <c r="FV112" s="116"/>
      <c r="FW112" s="116"/>
      <c r="FX112" s="116"/>
      <c r="FY112" s="116"/>
      <c r="FZ112" s="116"/>
      <c r="GA112" s="116"/>
      <c r="GB112" s="116"/>
      <c r="GC112" s="116"/>
      <c r="GD112" s="116"/>
      <c r="GE112" s="116"/>
      <c r="GF112" s="116"/>
      <c r="GG112" s="116"/>
      <c r="GH112" s="116"/>
      <c r="GI112" s="116"/>
      <c r="GJ112" s="116"/>
      <c r="GK112" s="116"/>
      <c r="GL112" s="116"/>
      <c r="GM112" s="116"/>
      <c r="GN112" s="116"/>
      <c r="GO112" s="116"/>
      <c r="GP112" s="116"/>
      <c r="GQ112" s="116"/>
      <c r="GR112" s="116"/>
      <c r="GS112" s="116"/>
      <c r="GT112" s="116"/>
      <c r="GU112" s="116"/>
      <c r="GV112" s="116"/>
      <c r="GW112" s="116"/>
      <c r="GX112" s="116"/>
      <c r="GY112" s="116"/>
      <c r="GZ112" s="116"/>
      <c r="HA112" s="116"/>
      <c r="HB112" s="116"/>
      <c r="HC112" s="116"/>
      <c r="HD112" s="116"/>
      <c r="HE112" s="116"/>
      <c r="HF112" s="116"/>
      <c r="HG112" s="116"/>
      <c r="HH112" s="116"/>
      <c r="HI112" s="116"/>
      <c r="HJ112" s="116"/>
      <c r="HK112" s="116"/>
      <c r="HL112" s="116"/>
      <c r="HM112" s="116"/>
      <c r="HN112" s="116"/>
      <c r="HO112" s="116"/>
      <c r="HP112" s="116"/>
      <c r="HQ112" s="116"/>
      <c r="HR112" s="116"/>
      <c r="HS112" s="116"/>
      <c r="HT112" s="116"/>
      <c r="HU112" s="116"/>
      <c r="HV112" s="116"/>
      <c r="HW112" s="116"/>
      <c r="HX112" s="116"/>
      <c r="HY112" s="116"/>
      <c r="HZ112" s="116"/>
      <c r="IA112" s="116"/>
      <c r="IB112" s="116"/>
      <c r="IC112" s="116"/>
      <c r="ID112" s="116"/>
      <c r="IE112" s="116"/>
      <c r="IF112" s="116"/>
      <c r="IG112" s="116"/>
      <c r="IH112" s="116"/>
      <c r="II112" s="116"/>
      <c r="IJ112" s="116"/>
      <c r="IK112" s="116"/>
      <c r="IL112" s="116"/>
      <c r="IM112" s="116"/>
      <c r="IN112" s="116"/>
      <c r="IO112" s="116"/>
      <c r="IP112" s="116"/>
      <c r="IQ112" s="116"/>
      <c r="IR112" s="116"/>
      <c r="IS112" s="116"/>
      <c r="IT112" s="116"/>
      <c r="IU112" s="116"/>
      <c r="IV112" s="116"/>
      <c r="IW112" s="116"/>
    </row>
    <row r="113" spans="2:257" x14ac:dyDescent="0.3">
      <c r="B113" s="140" t="s">
        <v>191</v>
      </c>
      <c r="C113" s="229"/>
      <c r="D113" s="231"/>
      <c r="E113" s="231"/>
      <c r="F113" s="231"/>
      <c r="G113" s="231"/>
      <c r="H113" s="231">
        <f>+SUM(C112:H112)</f>
        <v>14155826286.421093</v>
      </c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116"/>
      <c r="BA113" s="116"/>
      <c r="BB113" s="116"/>
      <c r="BC113" s="116"/>
      <c r="BD113" s="116"/>
      <c r="BE113" s="116"/>
      <c r="BF113" s="116"/>
      <c r="BG113" s="116"/>
      <c r="BH113" s="116"/>
      <c r="BI113" s="116"/>
      <c r="BJ113" s="116"/>
      <c r="BK113" s="116"/>
      <c r="BL113" s="116"/>
      <c r="BM113" s="116"/>
      <c r="BN113" s="116"/>
      <c r="BO113" s="116"/>
      <c r="BP113" s="116"/>
      <c r="BQ113" s="116"/>
      <c r="BR113" s="116"/>
      <c r="BS113" s="116"/>
      <c r="BT113" s="116"/>
      <c r="BU113" s="116"/>
      <c r="BV113" s="116"/>
      <c r="BW113" s="116"/>
      <c r="BX113" s="116"/>
      <c r="BY113" s="116"/>
      <c r="BZ113" s="116"/>
      <c r="CA113" s="116"/>
      <c r="CB113" s="116"/>
      <c r="CC113" s="116"/>
      <c r="CD113" s="116"/>
      <c r="CE113" s="116"/>
      <c r="CF113" s="116"/>
      <c r="CG113" s="116"/>
      <c r="CH113" s="116"/>
      <c r="CI113" s="116"/>
      <c r="CJ113" s="116"/>
      <c r="CK113" s="116"/>
      <c r="CL113" s="116"/>
      <c r="CM113" s="116"/>
      <c r="CN113" s="116"/>
      <c r="CO113" s="116"/>
      <c r="CP113" s="116"/>
      <c r="CQ113" s="116"/>
      <c r="CR113" s="116"/>
      <c r="CS113" s="116"/>
      <c r="CT113" s="116"/>
      <c r="CU113" s="116"/>
      <c r="CV113" s="116"/>
      <c r="CW113" s="116"/>
      <c r="CX113" s="116"/>
      <c r="CY113" s="116"/>
      <c r="CZ113" s="116"/>
      <c r="DA113" s="116"/>
      <c r="DB113" s="116"/>
      <c r="DC113" s="116"/>
      <c r="DD113" s="116"/>
      <c r="DE113" s="116"/>
      <c r="DF113" s="116"/>
      <c r="DG113" s="116"/>
      <c r="DH113" s="116"/>
      <c r="DI113" s="116"/>
      <c r="DJ113" s="116"/>
      <c r="DK113" s="116"/>
      <c r="DL113" s="116"/>
      <c r="DM113" s="116"/>
      <c r="DN113" s="116"/>
      <c r="DO113" s="116"/>
      <c r="DP113" s="116"/>
      <c r="DQ113" s="116"/>
      <c r="DR113" s="116"/>
      <c r="DS113" s="116"/>
      <c r="DT113" s="116"/>
      <c r="DU113" s="116"/>
      <c r="DV113" s="116"/>
      <c r="DW113" s="116"/>
      <c r="DX113" s="116"/>
      <c r="DY113" s="116"/>
      <c r="DZ113" s="116"/>
      <c r="EA113" s="116"/>
      <c r="EB113" s="116"/>
      <c r="EC113" s="116"/>
      <c r="ED113" s="116"/>
      <c r="EE113" s="116"/>
      <c r="EF113" s="116"/>
      <c r="EG113" s="116"/>
      <c r="EH113" s="116"/>
      <c r="EI113" s="116"/>
      <c r="EJ113" s="116"/>
      <c r="EK113" s="116"/>
      <c r="EL113" s="116"/>
      <c r="EM113" s="116"/>
      <c r="EN113" s="116"/>
      <c r="EO113" s="116"/>
      <c r="EP113" s="116"/>
      <c r="EQ113" s="116"/>
      <c r="ER113" s="116"/>
      <c r="ES113" s="116"/>
      <c r="ET113" s="116"/>
      <c r="EU113" s="116"/>
      <c r="EV113" s="116"/>
      <c r="EW113" s="116"/>
      <c r="EX113" s="116"/>
      <c r="EY113" s="116"/>
      <c r="EZ113" s="116"/>
      <c r="FA113" s="116"/>
      <c r="FB113" s="116"/>
      <c r="FC113" s="116"/>
      <c r="FD113" s="116"/>
      <c r="FE113" s="116"/>
      <c r="FF113" s="116"/>
      <c r="FG113" s="116"/>
      <c r="FH113" s="116"/>
      <c r="FI113" s="116"/>
      <c r="FJ113" s="116"/>
      <c r="FK113" s="116"/>
      <c r="FL113" s="116"/>
      <c r="FM113" s="116"/>
      <c r="FN113" s="116"/>
      <c r="FO113" s="116"/>
      <c r="FP113" s="116"/>
      <c r="FQ113" s="116"/>
      <c r="FR113" s="116"/>
      <c r="FS113" s="116"/>
      <c r="FT113" s="116"/>
      <c r="FU113" s="116"/>
      <c r="FV113" s="116"/>
      <c r="FW113" s="116"/>
      <c r="FX113" s="116"/>
      <c r="FY113" s="116"/>
      <c r="FZ113" s="116"/>
      <c r="GA113" s="116"/>
      <c r="GB113" s="116"/>
      <c r="GC113" s="116"/>
      <c r="GD113" s="116"/>
      <c r="GE113" s="116"/>
      <c r="GF113" s="116"/>
      <c r="GG113" s="116"/>
      <c r="GH113" s="116"/>
      <c r="GI113" s="116"/>
      <c r="GJ113" s="116"/>
      <c r="GK113" s="116"/>
      <c r="GL113" s="116"/>
      <c r="GM113" s="116"/>
      <c r="GN113" s="116"/>
      <c r="GO113" s="116"/>
      <c r="GP113" s="116"/>
      <c r="GQ113" s="116"/>
      <c r="GR113" s="116"/>
      <c r="GS113" s="116"/>
      <c r="GT113" s="116"/>
      <c r="GU113" s="116"/>
      <c r="GV113" s="116"/>
      <c r="GW113" s="116"/>
      <c r="GX113" s="116"/>
      <c r="GY113" s="116"/>
      <c r="GZ113" s="116"/>
      <c r="HA113" s="116"/>
      <c r="HB113" s="116"/>
      <c r="HC113" s="116"/>
      <c r="HD113" s="116"/>
      <c r="HE113" s="116"/>
      <c r="HF113" s="116"/>
      <c r="HG113" s="116"/>
      <c r="HH113" s="116"/>
      <c r="HI113" s="116"/>
      <c r="HJ113" s="116"/>
      <c r="HK113" s="116"/>
      <c r="HL113" s="116"/>
      <c r="HM113" s="116"/>
      <c r="HN113" s="116"/>
      <c r="HO113" s="116"/>
      <c r="HP113" s="116"/>
      <c r="HQ113" s="116"/>
      <c r="HR113" s="116"/>
      <c r="HS113" s="116"/>
      <c r="HT113" s="116"/>
      <c r="HU113" s="116"/>
      <c r="HV113" s="116"/>
      <c r="HW113" s="116"/>
      <c r="HX113" s="116"/>
      <c r="HY113" s="116"/>
      <c r="HZ113" s="116"/>
      <c r="IA113" s="116"/>
      <c r="IB113" s="116"/>
      <c r="IC113" s="116"/>
      <c r="ID113" s="116"/>
      <c r="IE113" s="116"/>
      <c r="IF113" s="116"/>
      <c r="IG113" s="116"/>
      <c r="IH113" s="116"/>
      <c r="II113" s="116"/>
      <c r="IJ113" s="116"/>
      <c r="IK113" s="116"/>
      <c r="IL113" s="116"/>
      <c r="IM113" s="116"/>
      <c r="IN113" s="116"/>
      <c r="IO113" s="116"/>
      <c r="IP113" s="116"/>
      <c r="IQ113" s="116"/>
      <c r="IR113" s="116"/>
      <c r="IS113" s="116"/>
      <c r="IT113" s="116"/>
      <c r="IU113" s="116"/>
      <c r="IV113" s="116"/>
      <c r="IW113" s="116"/>
    </row>
    <row r="114" spans="2:257" x14ac:dyDescent="0.3">
      <c r="B114" s="140" t="s">
        <v>192</v>
      </c>
      <c r="C114" s="229"/>
      <c r="D114" s="229"/>
      <c r="E114" s="229"/>
      <c r="F114" s="229"/>
      <c r="G114" s="229"/>
      <c r="H114" s="229">
        <f>+C58</f>
        <v>5625000</v>
      </c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6"/>
      <c r="BL114" s="116"/>
      <c r="BM114" s="116"/>
      <c r="BN114" s="116"/>
      <c r="BO114" s="116"/>
      <c r="BP114" s="116"/>
      <c r="BQ114" s="116"/>
      <c r="BR114" s="116"/>
      <c r="BS114" s="116"/>
      <c r="BT114" s="116"/>
      <c r="BU114" s="116"/>
      <c r="BV114" s="116"/>
      <c r="BW114" s="116"/>
      <c r="BX114" s="116"/>
      <c r="BY114" s="116"/>
      <c r="BZ114" s="116"/>
      <c r="CA114" s="116"/>
      <c r="CB114" s="116"/>
      <c r="CC114" s="116"/>
      <c r="CD114" s="116"/>
      <c r="CE114" s="116"/>
      <c r="CF114" s="116"/>
      <c r="CG114" s="116"/>
      <c r="CH114" s="116"/>
      <c r="CI114" s="116"/>
      <c r="CJ114" s="116"/>
      <c r="CK114" s="116"/>
      <c r="CL114" s="116"/>
      <c r="CM114" s="116"/>
      <c r="CN114" s="116"/>
      <c r="CO114" s="116"/>
      <c r="CP114" s="116"/>
      <c r="CQ114" s="116"/>
      <c r="CR114" s="116"/>
      <c r="CS114" s="116"/>
      <c r="CT114" s="116"/>
      <c r="CU114" s="116"/>
      <c r="CV114" s="116"/>
      <c r="CW114" s="116"/>
      <c r="CX114" s="116"/>
      <c r="CY114" s="116"/>
      <c r="CZ114" s="116"/>
      <c r="DA114" s="116"/>
      <c r="DB114" s="116"/>
      <c r="DC114" s="116"/>
      <c r="DD114" s="116"/>
      <c r="DE114" s="116"/>
      <c r="DF114" s="116"/>
      <c r="DG114" s="116"/>
      <c r="DH114" s="116"/>
      <c r="DI114" s="116"/>
      <c r="DJ114" s="116"/>
      <c r="DK114" s="116"/>
      <c r="DL114" s="116"/>
      <c r="DM114" s="116"/>
      <c r="DN114" s="116"/>
      <c r="DO114" s="116"/>
      <c r="DP114" s="116"/>
      <c r="DQ114" s="116"/>
      <c r="DR114" s="116"/>
      <c r="DS114" s="116"/>
      <c r="DT114" s="116"/>
      <c r="DU114" s="116"/>
      <c r="DV114" s="116"/>
      <c r="DW114" s="116"/>
      <c r="DX114" s="116"/>
      <c r="DY114" s="116"/>
      <c r="DZ114" s="116"/>
      <c r="EA114" s="116"/>
      <c r="EB114" s="116"/>
      <c r="EC114" s="116"/>
      <c r="ED114" s="116"/>
      <c r="EE114" s="116"/>
      <c r="EF114" s="116"/>
      <c r="EG114" s="116"/>
      <c r="EH114" s="116"/>
      <c r="EI114" s="116"/>
      <c r="EJ114" s="116"/>
      <c r="EK114" s="116"/>
      <c r="EL114" s="116"/>
      <c r="EM114" s="116"/>
      <c r="EN114" s="116"/>
      <c r="EO114" s="116"/>
      <c r="EP114" s="116"/>
      <c r="EQ114" s="116"/>
      <c r="ER114" s="116"/>
      <c r="ES114" s="116"/>
      <c r="ET114" s="116"/>
      <c r="EU114" s="116"/>
      <c r="EV114" s="116"/>
      <c r="EW114" s="116"/>
      <c r="EX114" s="116"/>
      <c r="EY114" s="116"/>
      <c r="EZ114" s="116"/>
      <c r="FA114" s="116"/>
      <c r="FB114" s="116"/>
      <c r="FC114" s="116"/>
      <c r="FD114" s="116"/>
      <c r="FE114" s="116"/>
      <c r="FF114" s="116"/>
      <c r="FG114" s="116"/>
      <c r="FH114" s="116"/>
      <c r="FI114" s="116"/>
      <c r="FJ114" s="116"/>
      <c r="FK114" s="116"/>
      <c r="FL114" s="116"/>
      <c r="FM114" s="116"/>
      <c r="FN114" s="116"/>
      <c r="FO114" s="116"/>
      <c r="FP114" s="116"/>
      <c r="FQ114" s="116"/>
      <c r="FR114" s="116"/>
      <c r="FS114" s="116"/>
      <c r="FT114" s="116"/>
      <c r="FU114" s="116"/>
      <c r="FV114" s="116"/>
      <c r="FW114" s="116"/>
      <c r="FX114" s="116"/>
      <c r="FY114" s="116"/>
      <c r="FZ114" s="116"/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116"/>
      <c r="GL114" s="116"/>
      <c r="GM114" s="116"/>
      <c r="GN114" s="116"/>
      <c r="GO114" s="116"/>
      <c r="GP114" s="116"/>
      <c r="GQ114" s="116"/>
      <c r="GR114" s="116"/>
      <c r="GS114" s="116"/>
      <c r="GT114" s="116"/>
      <c r="GU114" s="116"/>
      <c r="GV114" s="116"/>
      <c r="GW114" s="116"/>
      <c r="GX114" s="116"/>
      <c r="GY114" s="116"/>
      <c r="GZ114" s="116"/>
      <c r="HA114" s="116"/>
      <c r="HB114" s="116"/>
      <c r="HC114" s="116"/>
      <c r="HD114" s="116"/>
      <c r="HE114" s="116"/>
      <c r="HF114" s="116"/>
      <c r="HG114" s="116"/>
      <c r="HH114" s="116"/>
      <c r="HI114" s="116"/>
      <c r="HJ114" s="116"/>
      <c r="HK114" s="116"/>
      <c r="HL114" s="116"/>
      <c r="HM114" s="116"/>
      <c r="HN114" s="116"/>
      <c r="HO114" s="116"/>
      <c r="HP114" s="116"/>
      <c r="HQ114" s="116"/>
      <c r="HR114" s="116"/>
      <c r="HS114" s="116"/>
      <c r="HT114" s="116"/>
      <c r="HU114" s="116"/>
      <c r="HV114" s="116"/>
      <c r="HW114" s="116"/>
      <c r="HX114" s="116"/>
      <c r="HY114" s="116"/>
      <c r="HZ114" s="116"/>
      <c r="IA114" s="116"/>
      <c r="IB114" s="116"/>
      <c r="IC114" s="116"/>
      <c r="ID114" s="116"/>
      <c r="IE114" s="116"/>
      <c r="IF114" s="116"/>
      <c r="IG114" s="116"/>
      <c r="IH114" s="116"/>
      <c r="II114" s="116"/>
      <c r="IJ114" s="116"/>
      <c r="IK114" s="116"/>
      <c r="IL114" s="116"/>
      <c r="IM114" s="116"/>
      <c r="IN114" s="116"/>
      <c r="IO114" s="116"/>
      <c r="IP114" s="116"/>
      <c r="IQ114" s="116"/>
      <c r="IR114" s="116"/>
      <c r="IS114" s="116"/>
      <c r="IT114" s="116"/>
      <c r="IU114" s="116"/>
      <c r="IV114" s="116"/>
      <c r="IW114" s="116"/>
    </row>
    <row r="115" spans="2:257" x14ac:dyDescent="0.3">
      <c r="B115" s="160" t="s">
        <v>214</v>
      </c>
      <c r="C115" s="232">
        <f>+C105-C106+C107+C108-C109-C110-C111-C112+C113+C114</f>
        <v>-70705000</v>
      </c>
      <c r="D115" s="232">
        <f>+D105-D106+D107+D108-D109-D110-D111-D112+D113+D114</f>
        <v>-16834691062.274891</v>
      </c>
      <c r="E115" s="232">
        <f t="shared" ref="E115:G115" si="27">+E105-E106+E107+E108-E109-E110-E111-E112+E113+E114</f>
        <v>-9183766742.8301735</v>
      </c>
      <c r="F115" s="232">
        <f t="shared" si="27"/>
        <v>16190960794.640669</v>
      </c>
      <c r="G115" s="232">
        <f t="shared" si="27"/>
        <v>18385481007.560658</v>
      </c>
      <c r="H115" s="232">
        <f>+H105-H106+H107+H108-H109-H110-H111-H112+H113+H114</f>
        <v>34853067800.188484</v>
      </c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159"/>
      <c r="BG115" s="159"/>
      <c r="BH115" s="159"/>
      <c r="BI115" s="159"/>
      <c r="BJ115" s="159"/>
      <c r="BK115" s="159"/>
      <c r="BL115" s="159"/>
      <c r="BM115" s="159"/>
      <c r="BN115" s="159"/>
      <c r="BO115" s="159"/>
      <c r="BP115" s="159"/>
      <c r="BQ115" s="159"/>
      <c r="BR115" s="159"/>
      <c r="BS115" s="159"/>
      <c r="BT115" s="159"/>
      <c r="BU115" s="159"/>
      <c r="BV115" s="159"/>
      <c r="BW115" s="159"/>
      <c r="BX115" s="159"/>
      <c r="BY115" s="159"/>
      <c r="BZ115" s="159"/>
      <c r="CA115" s="159"/>
      <c r="CB115" s="159"/>
      <c r="CC115" s="159"/>
      <c r="CD115" s="159"/>
      <c r="CE115" s="159"/>
      <c r="CF115" s="159"/>
      <c r="CG115" s="159"/>
      <c r="CH115" s="159"/>
      <c r="CI115" s="159"/>
      <c r="CJ115" s="159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59"/>
      <c r="CW115" s="159"/>
      <c r="CX115" s="159"/>
      <c r="CY115" s="159"/>
      <c r="CZ115" s="159"/>
      <c r="DA115" s="159"/>
      <c r="DB115" s="159"/>
      <c r="DC115" s="159"/>
      <c r="DD115" s="159"/>
      <c r="DE115" s="159"/>
      <c r="DF115" s="159"/>
      <c r="DG115" s="159"/>
      <c r="DH115" s="159"/>
      <c r="DI115" s="159"/>
      <c r="DJ115" s="159"/>
      <c r="DK115" s="159"/>
      <c r="DL115" s="159"/>
      <c r="DM115" s="159"/>
      <c r="DN115" s="159"/>
      <c r="DO115" s="159"/>
      <c r="DP115" s="159"/>
      <c r="DQ115" s="159"/>
      <c r="DR115" s="159"/>
      <c r="DS115" s="159"/>
      <c r="DT115" s="159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59"/>
      <c r="EG115" s="159"/>
      <c r="EH115" s="159"/>
      <c r="EI115" s="159"/>
      <c r="EJ115" s="159"/>
      <c r="EK115" s="159"/>
      <c r="EL115" s="159"/>
      <c r="EM115" s="159"/>
      <c r="EN115" s="159"/>
      <c r="EO115" s="159"/>
      <c r="EP115" s="159"/>
      <c r="EQ115" s="159"/>
      <c r="ER115" s="159"/>
      <c r="ES115" s="159"/>
      <c r="ET115" s="159"/>
      <c r="EU115" s="159"/>
      <c r="EV115" s="159"/>
      <c r="EW115" s="159"/>
      <c r="EX115" s="159"/>
      <c r="EY115" s="159"/>
      <c r="EZ115" s="159"/>
      <c r="FA115" s="159"/>
      <c r="FB115" s="159"/>
      <c r="FC115" s="159"/>
      <c r="FD115" s="159"/>
      <c r="FE115" s="159"/>
      <c r="FF115" s="159"/>
      <c r="FG115" s="159"/>
      <c r="FH115" s="159"/>
      <c r="FI115" s="159"/>
      <c r="FJ115" s="159"/>
      <c r="FK115" s="159"/>
      <c r="FL115" s="159"/>
      <c r="FM115" s="159"/>
      <c r="FN115" s="159"/>
      <c r="FO115" s="159"/>
      <c r="FP115" s="159"/>
      <c r="FQ115" s="159"/>
      <c r="FR115" s="159"/>
      <c r="FS115" s="159"/>
      <c r="FT115" s="159"/>
      <c r="FU115" s="159"/>
      <c r="FV115" s="159"/>
      <c r="FW115" s="159"/>
      <c r="FX115" s="159"/>
      <c r="FY115" s="159"/>
      <c r="FZ115" s="159"/>
      <c r="GA115" s="159"/>
      <c r="GB115" s="159"/>
      <c r="GC115" s="159"/>
      <c r="GD115" s="159"/>
      <c r="GE115" s="159"/>
      <c r="GF115" s="159"/>
      <c r="GG115" s="159"/>
      <c r="GH115" s="159"/>
      <c r="GI115" s="159"/>
      <c r="GJ115" s="159"/>
      <c r="GK115" s="159"/>
      <c r="GL115" s="159"/>
      <c r="GM115" s="159"/>
      <c r="GN115" s="159"/>
      <c r="GO115" s="159"/>
      <c r="GP115" s="159"/>
      <c r="GQ115" s="159"/>
      <c r="GR115" s="159"/>
      <c r="GS115" s="159"/>
      <c r="GT115" s="159"/>
      <c r="GU115" s="159"/>
      <c r="GV115" s="159"/>
      <c r="GW115" s="159"/>
      <c r="GX115" s="159"/>
      <c r="GY115" s="159"/>
      <c r="GZ115" s="159"/>
      <c r="HA115" s="159"/>
      <c r="HB115" s="159"/>
      <c r="HC115" s="159"/>
      <c r="HD115" s="159"/>
      <c r="HE115" s="159"/>
      <c r="HF115" s="159"/>
      <c r="HG115" s="159"/>
      <c r="HH115" s="159"/>
      <c r="HI115" s="159"/>
      <c r="HJ115" s="159"/>
      <c r="HK115" s="159"/>
      <c r="HL115" s="159"/>
      <c r="HM115" s="159"/>
      <c r="HN115" s="159"/>
      <c r="HO115" s="159"/>
      <c r="HP115" s="159"/>
      <c r="HQ115" s="159"/>
      <c r="HR115" s="159"/>
      <c r="HS115" s="159"/>
      <c r="HT115" s="159"/>
      <c r="HU115" s="159"/>
      <c r="HV115" s="159"/>
      <c r="HW115" s="159"/>
      <c r="HX115" s="159"/>
      <c r="HY115" s="159"/>
      <c r="HZ115" s="159"/>
      <c r="IA115" s="159"/>
      <c r="IB115" s="159"/>
      <c r="IC115" s="159"/>
      <c r="ID115" s="159"/>
      <c r="IE115" s="159"/>
      <c r="IF115" s="159"/>
      <c r="IG115" s="159"/>
      <c r="IH115" s="159"/>
      <c r="II115" s="159"/>
      <c r="IJ115" s="159"/>
      <c r="IK115" s="159"/>
      <c r="IL115" s="159"/>
      <c r="IM115" s="159"/>
      <c r="IN115" s="159"/>
      <c r="IO115" s="159"/>
      <c r="IP115" s="159"/>
      <c r="IQ115" s="159"/>
      <c r="IR115" s="159"/>
      <c r="IS115" s="159"/>
      <c r="IT115" s="159"/>
      <c r="IU115" s="159"/>
      <c r="IV115" s="159"/>
      <c r="IW115" s="159"/>
    </row>
    <row r="116" spans="2:257" x14ac:dyDescent="0.3">
      <c r="B116" s="141" t="s">
        <v>215</v>
      </c>
      <c r="C116" s="229"/>
      <c r="D116" s="272">
        <f>+D115/(1+$C$79)^D97</f>
        <v>-14638861793.282515</v>
      </c>
      <c r="E116" s="272">
        <f t="shared" ref="E116:H116" si="28">+E115/(1+$C$79)^E97</f>
        <v>-6944247064.5218716</v>
      </c>
      <c r="F116" s="272">
        <f t="shared" si="28"/>
        <v>10645819541.146166</v>
      </c>
      <c r="G116" s="272">
        <f t="shared" si="28"/>
        <v>10511958437.861879</v>
      </c>
      <c r="H116" s="272">
        <f t="shared" si="28"/>
        <v>17328134464.02766</v>
      </c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16"/>
      <c r="GL116" s="116"/>
      <c r="GM116" s="116"/>
      <c r="GN116" s="116"/>
      <c r="GO116" s="116"/>
      <c r="GP116" s="116"/>
      <c r="GQ116" s="116"/>
      <c r="GR116" s="116"/>
      <c r="GS116" s="116"/>
      <c r="GT116" s="116"/>
      <c r="GU116" s="116"/>
      <c r="GV116" s="116"/>
      <c r="GW116" s="116"/>
      <c r="GX116" s="116"/>
      <c r="GY116" s="116"/>
      <c r="GZ116" s="116"/>
      <c r="HA116" s="116"/>
      <c r="HB116" s="116"/>
      <c r="HC116" s="116"/>
      <c r="HD116" s="116"/>
      <c r="HE116" s="116"/>
      <c r="HF116" s="116"/>
      <c r="HG116" s="116"/>
      <c r="HH116" s="116"/>
      <c r="HI116" s="116"/>
      <c r="HJ116" s="116"/>
      <c r="HK116" s="116"/>
      <c r="HL116" s="116"/>
      <c r="HM116" s="116"/>
      <c r="HN116" s="116"/>
      <c r="HO116" s="116"/>
      <c r="HP116" s="116"/>
      <c r="HQ116" s="116"/>
      <c r="HR116" s="116"/>
      <c r="HS116" s="116"/>
      <c r="HT116" s="116"/>
      <c r="HU116" s="116"/>
      <c r="HV116" s="116"/>
      <c r="HW116" s="116"/>
      <c r="HX116" s="116"/>
      <c r="HY116" s="116"/>
      <c r="HZ116" s="116"/>
      <c r="IA116" s="116"/>
      <c r="IB116" s="116"/>
      <c r="IC116" s="116"/>
      <c r="ID116" s="116"/>
      <c r="IE116" s="116"/>
      <c r="IF116" s="116"/>
      <c r="IG116" s="116"/>
      <c r="IH116" s="116"/>
      <c r="II116" s="116"/>
      <c r="IJ116" s="116"/>
      <c r="IK116" s="116"/>
      <c r="IL116" s="116"/>
      <c r="IM116" s="116"/>
      <c r="IN116" s="116"/>
      <c r="IO116" s="116"/>
      <c r="IP116" s="116"/>
      <c r="IQ116" s="116"/>
      <c r="IR116" s="116"/>
      <c r="IS116" s="116"/>
      <c r="IT116" s="116"/>
      <c r="IU116" s="116"/>
      <c r="IV116" s="116"/>
      <c r="IW116" s="116"/>
    </row>
    <row r="117" spans="2:257" x14ac:dyDescent="0.3">
      <c r="B117" s="141" t="s">
        <v>216</v>
      </c>
      <c r="C117" s="229"/>
      <c r="D117" s="272">
        <f>+D116</f>
        <v>-14638861793.282515</v>
      </c>
      <c r="E117" s="272">
        <f>+D117+E116</f>
        <v>-21583108857.804386</v>
      </c>
      <c r="F117" s="272">
        <f>+E117+F116</f>
        <v>-10937289316.65822</v>
      </c>
      <c r="G117" s="272">
        <f>+F117+G116</f>
        <v>-425330878.79634094</v>
      </c>
      <c r="H117" s="272">
        <f>+G117+H116</f>
        <v>16902803585.231319</v>
      </c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  <c r="BD117" s="116"/>
      <c r="BE117" s="116"/>
      <c r="BF117" s="116"/>
      <c r="BG117" s="116"/>
      <c r="BH117" s="116"/>
      <c r="BI117" s="116"/>
      <c r="BJ117" s="116"/>
      <c r="BK117" s="116"/>
      <c r="BL117" s="116"/>
      <c r="BM117" s="116"/>
      <c r="BN117" s="116"/>
      <c r="BO117" s="116"/>
      <c r="BP117" s="116"/>
      <c r="BQ117" s="116"/>
      <c r="BR117" s="116"/>
      <c r="BS117" s="116"/>
      <c r="BT117" s="116"/>
      <c r="BU117" s="116"/>
      <c r="BV117" s="116"/>
      <c r="BW117" s="116"/>
      <c r="BX117" s="116"/>
      <c r="BY117" s="116"/>
      <c r="BZ117" s="116"/>
      <c r="CA117" s="116"/>
      <c r="CB117" s="116"/>
      <c r="CC117" s="116"/>
      <c r="CD117" s="116"/>
      <c r="CE117" s="116"/>
      <c r="CF117" s="116"/>
      <c r="CG117" s="116"/>
      <c r="CH117" s="116"/>
      <c r="CI117" s="116"/>
      <c r="CJ117" s="116"/>
      <c r="CK117" s="116"/>
      <c r="CL117" s="116"/>
      <c r="CM117" s="116"/>
      <c r="CN117" s="116"/>
      <c r="CO117" s="116"/>
      <c r="CP117" s="116"/>
      <c r="CQ117" s="116"/>
      <c r="CR117" s="116"/>
      <c r="CS117" s="116"/>
      <c r="CT117" s="116"/>
      <c r="CU117" s="116"/>
      <c r="CV117" s="116"/>
      <c r="CW117" s="116"/>
      <c r="CX117" s="116"/>
      <c r="CY117" s="116"/>
      <c r="CZ117" s="116"/>
      <c r="DA117" s="116"/>
      <c r="DB117" s="116"/>
      <c r="DC117" s="116"/>
      <c r="DD117" s="116"/>
      <c r="DE117" s="116"/>
      <c r="DF117" s="116"/>
      <c r="DG117" s="116"/>
      <c r="DH117" s="116"/>
      <c r="DI117" s="116"/>
      <c r="DJ117" s="116"/>
      <c r="DK117" s="116"/>
      <c r="DL117" s="116"/>
      <c r="DM117" s="116"/>
      <c r="DN117" s="116"/>
      <c r="DO117" s="116"/>
      <c r="DP117" s="116"/>
      <c r="DQ117" s="116"/>
      <c r="DR117" s="116"/>
      <c r="DS117" s="116"/>
      <c r="DT117" s="116"/>
      <c r="DU117" s="116"/>
      <c r="DV117" s="116"/>
      <c r="DW117" s="116"/>
      <c r="DX117" s="116"/>
      <c r="DY117" s="116"/>
      <c r="DZ117" s="116"/>
      <c r="EA117" s="116"/>
      <c r="EB117" s="116"/>
      <c r="EC117" s="116"/>
      <c r="ED117" s="116"/>
      <c r="EE117" s="116"/>
      <c r="EF117" s="116"/>
      <c r="EG117" s="116"/>
      <c r="EH117" s="116"/>
      <c r="EI117" s="116"/>
      <c r="EJ117" s="116"/>
      <c r="EK117" s="116"/>
      <c r="EL117" s="116"/>
      <c r="EM117" s="116"/>
      <c r="EN117" s="116"/>
      <c r="EO117" s="116"/>
      <c r="EP117" s="116"/>
      <c r="EQ117" s="116"/>
      <c r="ER117" s="116"/>
      <c r="ES117" s="116"/>
      <c r="ET117" s="116"/>
      <c r="EU117" s="116"/>
      <c r="EV117" s="116"/>
      <c r="EW117" s="116"/>
      <c r="EX117" s="116"/>
      <c r="EY117" s="116"/>
      <c r="EZ117" s="116"/>
      <c r="FA117" s="116"/>
      <c r="FB117" s="116"/>
      <c r="FC117" s="116"/>
      <c r="FD117" s="116"/>
      <c r="FE117" s="116"/>
      <c r="FF117" s="116"/>
      <c r="FG117" s="116"/>
      <c r="FH117" s="116"/>
      <c r="FI117" s="116"/>
      <c r="FJ117" s="116"/>
      <c r="FK117" s="116"/>
      <c r="FL117" s="116"/>
      <c r="FM117" s="116"/>
      <c r="FN117" s="116"/>
      <c r="FO117" s="116"/>
      <c r="FP117" s="116"/>
      <c r="FQ117" s="116"/>
      <c r="FR117" s="116"/>
      <c r="FS117" s="116"/>
      <c r="FT117" s="116"/>
      <c r="FU117" s="116"/>
      <c r="FV117" s="116"/>
      <c r="FW117" s="116"/>
      <c r="FX117" s="116"/>
      <c r="FY117" s="116"/>
      <c r="FZ117" s="116"/>
      <c r="GA117" s="116"/>
      <c r="GB117" s="116"/>
      <c r="GC117" s="116"/>
      <c r="GD117" s="116"/>
      <c r="GE117" s="116"/>
      <c r="GF117" s="116"/>
      <c r="GG117" s="116"/>
      <c r="GH117" s="116"/>
      <c r="GI117" s="116"/>
      <c r="GJ117" s="116"/>
      <c r="GK117" s="116"/>
      <c r="GL117" s="116"/>
      <c r="GM117" s="116"/>
      <c r="GN117" s="116"/>
      <c r="GO117" s="116"/>
      <c r="GP117" s="116"/>
      <c r="GQ117" s="116"/>
      <c r="GR117" s="116"/>
      <c r="GS117" s="116"/>
      <c r="GT117" s="116"/>
      <c r="GU117" s="116"/>
      <c r="GV117" s="116"/>
      <c r="GW117" s="116"/>
      <c r="GX117" s="116"/>
      <c r="GY117" s="116"/>
      <c r="GZ117" s="116"/>
      <c r="HA117" s="116"/>
      <c r="HB117" s="116"/>
      <c r="HC117" s="116"/>
      <c r="HD117" s="116"/>
      <c r="HE117" s="116"/>
      <c r="HF117" s="116"/>
      <c r="HG117" s="116"/>
      <c r="HH117" s="116"/>
      <c r="HI117" s="116"/>
      <c r="HJ117" s="116"/>
      <c r="HK117" s="116"/>
      <c r="HL117" s="116"/>
      <c r="HM117" s="116"/>
      <c r="HN117" s="116"/>
      <c r="HO117" s="116"/>
      <c r="HP117" s="116"/>
      <c r="HQ117" s="116"/>
      <c r="HR117" s="116"/>
      <c r="HS117" s="116"/>
      <c r="HT117" s="116"/>
      <c r="HU117" s="116"/>
      <c r="HV117" s="116"/>
      <c r="HW117" s="116"/>
      <c r="HX117" s="116"/>
      <c r="HY117" s="116"/>
      <c r="HZ117" s="116"/>
      <c r="IA117" s="116"/>
      <c r="IB117" s="116"/>
      <c r="IC117" s="116"/>
      <c r="ID117" s="116"/>
      <c r="IE117" s="116"/>
      <c r="IF117" s="116"/>
      <c r="IG117" s="116"/>
      <c r="IH117" s="116"/>
      <c r="II117" s="116"/>
      <c r="IJ117" s="116"/>
      <c r="IK117" s="116"/>
      <c r="IL117" s="116"/>
      <c r="IM117" s="116"/>
      <c r="IN117" s="116"/>
      <c r="IO117" s="116"/>
      <c r="IP117" s="116"/>
      <c r="IQ117" s="116"/>
      <c r="IR117" s="116"/>
      <c r="IS117" s="116"/>
      <c r="IT117" s="116"/>
      <c r="IU117" s="116"/>
      <c r="IV117" s="116"/>
      <c r="IW117" s="116"/>
    </row>
    <row r="118" spans="2:257" x14ac:dyDescent="0.3">
      <c r="B118" s="161" t="s">
        <v>193</v>
      </c>
      <c r="C118" s="281">
        <f>+IRR(C115:H115)</f>
        <v>0.41158815273179306</v>
      </c>
      <c r="D118" s="233"/>
      <c r="E118" s="233"/>
      <c r="F118" s="233"/>
      <c r="G118" s="233"/>
      <c r="H118" s="234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  <c r="DT118" s="116"/>
      <c r="DU118" s="116"/>
      <c r="DV118" s="116"/>
      <c r="DW118" s="116"/>
      <c r="DX118" s="116"/>
      <c r="DY118" s="116"/>
      <c r="DZ118" s="116"/>
      <c r="EA118" s="116"/>
      <c r="EB118" s="116"/>
      <c r="EC118" s="116"/>
      <c r="ED118" s="116"/>
      <c r="EE118" s="116"/>
      <c r="EF118" s="116"/>
      <c r="EG118" s="116"/>
      <c r="EH118" s="116"/>
      <c r="EI118" s="116"/>
      <c r="EJ118" s="116"/>
      <c r="EK118" s="116"/>
      <c r="EL118" s="116"/>
      <c r="EM118" s="116"/>
      <c r="EN118" s="116"/>
      <c r="EO118" s="116"/>
      <c r="EP118" s="116"/>
      <c r="EQ118" s="116"/>
      <c r="ER118" s="116"/>
      <c r="ES118" s="116"/>
      <c r="ET118" s="116"/>
      <c r="EU118" s="116"/>
      <c r="EV118" s="116"/>
      <c r="EW118" s="116"/>
      <c r="EX118" s="116"/>
      <c r="EY118" s="116"/>
      <c r="EZ118" s="116"/>
      <c r="FA118" s="116"/>
      <c r="FB118" s="116"/>
      <c r="FC118" s="116"/>
      <c r="FD118" s="116"/>
      <c r="FE118" s="116"/>
      <c r="FF118" s="116"/>
      <c r="FG118" s="116"/>
      <c r="FH118" s="116"/>
      <c r="FI118" s="116"/>
      <c r="FJ118" s="116"/>
      <c r="FK118" s="116"/>
      <c r="FL118" s="116"/>
      <c r="FM118" s="116"/>
      <c r="FN118" s="116"/>
      <c r="FO118" s="116"/>
      <c r="FP118" s="116"/>
      <c r="FQ118" s="116"/>
      <c r="FR118" s="116"/>
      <c r="FS118" s="116"/>
      <c r="FT118" s="116"/>
      <c r="FU118" s="116"/>
      <c r="FV118" s="116"/>
      <c r="FW118" s="116"/>
      <c r="FX118" s="116"/>
      <c r="FY118" s="116"/>
      <c r="FZ118" s="116"/>
      <c r="GA118" s="116"/>
      <c r="GB118" s="116"/>
      <c r="GC118" s="116"/>
      <c r="GD118" s="116"/>
      <c r="GE118" s="116"/>
      <c r="GF118" s="116"/>
      <c r="GG118" s="116"/>
      <c r="GH118" s="116"/>
      <c r="GI118" s="116"/>
      <c r="GJ118" s="116"/>
      <c r="GK118" s="116"/>
      <c r="GL118" s="116"/>
      <c r="GM118" s="116"/>
      <c r="GN118" s="116"/>
      <c r="GO118" s="116"/>
      <c r="GP118" s="116"/>
      <c r="GQ118" s="116"/>
      <c r="GR118" s="116"/>
      <c r="GS118" s="116"/>
      <c r="GT118" s="116"/>
      <c r="GU118" s="116"/>
      <c r="GV118" s="116"/>
      <c r="GW118" s="116"/>
      <c r="GX118" s="116"/>
      <c r="GY118" s="116"/>
      <c r="GZ118" s="116"/>
      <c r="HA118" s="116"/>
      <c r="HB118" s="116"/>
      <c r="HC118" s="116"/>
      <c r="HD118" s="116"/>
      <c r="HE118" s="116"/>
      <c r="HF118" s="116"/>
      <c r="HG118" s="116"/>
      <c r="HH118" s="116"/>
      <c r="HI118" s="116"/>
      <c r="HJ118" s="116"/>
      <c r="HK118" s="116"/>
      <c r="HL118" s="116"/>
      <c r="HM118" s="116"/>
      <c r="HN118" s="116"/>
      <c r="HO118" s="116"/>
      <c r="HP118" s="116"/>
      <c r="HQ118" s="116"/>
      <c r="HR118" s="116"/>
      <c r="HS118" s="116"/>
      <c r="HT118" s="116"/>
      <c r="HU118" s="116"/>
      <c r="HV118" s="116"/>
      <c r="HW118" s="116"/>
      <c r="HX118" s="116"/>
      <c r="HY118" s="116"/>
      <c r="HZ118" s="116"/>
      <c r="IA118" s="116"/>
      <c r="IB118" s="116"/>
      <c r="IC118" s="116"/>
      <c r="ID118" s="116"/>
      <c r="IE118" s="116"/>
      <c r="IF118" s="116"/>
      <c r="IG118" s="116"/>
      <c r="IH118" s="116"/>
      <c r="II118" s="116"/>
      <c r="IJ118" s="116"/>
      <c r="IK118" s="116"/>
      <c r="IL118" s="116"/>
      <c r="IM118" s="116"/>
      <c r="IN118" s="116"/>
      <c r="IO118" s="116"/>
      <c r="IP118" s="116"/>
      <c r="IQ118" s="116"/>
      <c r="IR118" s="116"/>
      <c r="IS118" s="116"/>
      <c r="IT118" s="116"/>
      <c r="IU118" s="116"/>
      <c r="IV118" s="116"/>
      <c r="IW118" s="116"/>
    </row>
    <row r="119" spans="2:257" x14ac:dyDescent="0.3">
      <c r="B119" s="161" t="s">
        <v>194</v>
      </c>
      <c r="C119" s="247">
        <f>+NPV(C79,D115:H115)+C115</f>
        <v>16832098585.231318</v>
      </c>
      <c r="D119" s="143"/>
      <c r="E119" s="144"/>
      <c r="F119" s="143"/>
      <c r="G119" s="143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16"/>
      <c r="BD119" s="116"/>
      <c r="BE119" s="116"/>
      <c r="BF119" s="116"/>
      <c r="BG119" s="116"/>
      <c r="BH119" s="116"/>
      <c r="BI119" s="116"/>
      <c r="BJ119" s="116"/>
      <c r="BK119" s="116"/>
      <c r="BL119" s="116"/>
      <c r="BM119" s="116"/>
      <c r="BN119" s="116"/>
      <c r="BO119" s="116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  <c r="CB119" s="116"/>
      <c r="CC119" s="116"/>
      <c r="CD119" s="116"/>
      <c r="CE119" s="116"/>
      <c r="CF119" s="116"/>
      <c r="CG119" s="116"/>
      <c r="CH119" s="116"/>
      <c r="CI119" s="116"/>
      <c r="CJ119" s="116"/>
      <c r="CK119" s="116"/>
      <c r="CL119" s="116"/>
      <c r="CM119" s="116"/>
      <c r="CN119" s="116"/>
      <c r="CO119" s="116"/>
      <c r="CP119" s="116"/>
      <c r="CQ119" s="116"/>
      <c r="CR119" s="116"/>
      <c r="CS119" s="116"/>
      <c r="CT119" s="116"/>
      <c r="CU119" s="116"/>
      <c r="CV119" s="116"/>
      <c r="CW119" s="116"/>
      <c r="CX119" s="116"/>
      <c r="CY119" s="116"/>
      <c r="CZ119" s="116"/>
      <c r="DA119" s="116"/>
      <c r="DB119" s="116"/>
      <c r="DC119" s="116"/>
      <c r="DD119" s="116"/>
      <c r="DE119" s="116"/>
      <c r="DF119" s="116"/>
      <c r="DG119" s="116"/>
      <c r="DH119" s="116"/>
      <c r="DI119" s="116"/>
      <c r="DJ119" s="116"/>
      <c r="DK119" s="116"/>
      <c r="DL119" s="116"/>
      <c r="DM119" s="116"/>
      <c r="DN119" s="116"/>
      <c r="DO119" s="116"/>
      <c r="DP119" s="116"/>
      <c r="DQ119" s="116"/>
      <c r="DR119" s="116"/>
      <c r="DS119" s="116"/>
      <c r="DT119" s="116"/>
      <c r="DU119" s="116"/>
      <c r="DV119" s="116"/>
      <c r="DW119" s="116"/>
      <c r="DX119" s="116"/>
      <c r="DY119" s="116"/>
      <c r="DZ119" s="116"/>
      <c r="EA119" s="116"/>
      <c r="EB119" s="116"/>
      <c r="EC119" s="116"/>
      <c r="ED119" s="116"/>
      <c r="EE119" s="116"/>
      <c r="EF119" s="116"/>
      <c r="EG119" s="116"/>
      <c r="EH119" s="116"/>
      <c r="EI119" s="116"/>
      <c r="EJ119" s="116"/>
      <c r="EK119" s="116"/>
      <c r="EL119" s="116"/>
      <c r="EM119" s="116"/>
      <c r="EN119" s="116"/>
      <c r="EO119" s="116"/>
      <c r="EP119" s="116"/>
      <c r="EQ119" s="116"/>
      <c r="ER119" s="116"/>
      <c r="ES119" s="116"/>
      <c r="ET119" s="116"/>
      <c r="EU119" s="116"/>
      <c r="EV119" s="116"/>
      <c r="EW119" s="116"/>
      <c r="EX119" s="116"/>
      <c r="EY119" s="116"/>
      <c r="EZ119" s="116"/>
      <c r="FA119" s="116"/>
      <c r="FB119" s="116"/>
      <c r="FC119" s="116"/>
      <c r="FD119" s="116"/>
      <c r="FE119" s="116"/>
      <c r="FF119" s="116"/>
      <c r="FG119" s="116"/>
      <c r="FH119" s="116"/>
      <c r="FI119" s="116"/>
      <c r="FJ119" s="116"/>
      <c r="FK119" s="116"/>
      <c r="FL119" s="116"/>
      <c r="FM119" s="116"/>
      <c r="FN119" s="116"/>
      <c r="FO119" s="116"/>
      <c r="FP119" s="116"/>
      <c r="FQ119" s="116"/>
      <c r="FR119" s="116"/>
      <c r="FS119" s="116"/>
      <c r="FT119" s="116"/>
      <c r="FU119" s="116"/>
      <c r="FV119" s="116"/>
      <c r="FW119" s="116"/>
      <c r="FX119" s="116"/>
      <c r="FY119" s="116"/>
      <c r="FZ119" s="116"/>
      <c r="GA119" s="116"/>
      <c r="GB119" s="116"/>
      <c r="GC119" s="116"/>
      <c r="GD119" s="116"/>
      <c r="GE119" s="116"/>
      <c r="GF119" s="116"/>
      <c r="GG119" s="116"/>
      <c r="GH119" s="116"/>
      <c r="GI119" s="116"/>
      <c r="GJ119" s="116"/>
      <c r="GK119" s="116"/>
      <c r="GL119" s="116"/>
      <c r="GM119" s="116"/>
      <c r="GN119" s="116"/>
      <c r="GO119" s="116"/>
      <c r="GP119" s="116"/>
      <c r="GQ119" s="116"/>
      <c r="GR119" s="116"/>
      <c r="GS119" s="116"/>
      <c r="GT119" s="116"/>
      <c r="GU119" s="116"/>
      <c r="GV119" s="116"/>
      <c r="GW119" s="116"/>
      <c r="GX119" s="116"/>
      <c r="GY119" s="116"/>
      <c r="GZ119" s="116"/>
      <c r="HA119" s="116"/>
      <c r="HB119" s="116"/>
      <c r="HC119" s="116"/>
      <c r="HD119" s="116"/>
      <c r="HE119" s="116"/>
      <c r="HF119" s="116"/>
      <c r="HG119" s="116"/>
      <c r="HH119" s="116"/>
      <c r="HI119" s="116"/>
      <c r="HJ119" s="116"/>
      <c r="HK119" s="116"/>
      <c r="HL119" s="116"/>
      <c r="HM119" s="116"/>
      <c r="HN119" s="116"/>
      <c r="HO119" s="116"/>
      <c r="HP119" s="116"/>
      <c r="HQ119" s="116"/>
      <c r="HR119" s="116"/>
      <c r="HS119" s="116"/>
      <c r="HT119" s="116"/>
      <c r="HU119" s="116"/>
      <c r="HV119" s="116"/>
      <c r="HW119" s="116"/>
      <c r="HX119" s="116"/>
      <c r="HY119" s="116"/>
      <c r="HZ119" s="116"/>
      <c r="IA119" s="116"/>
      <c r="IB119" s="116"/>
      <c r="IC119" s="116"/>
      <c r="ID119" s="116"/>
      <c r="IE119" s="116"/>
      <c r="IF119" s="116"/>
      <c r="IG119" s="116"/>
      <c r="IH119" s="116"/>
      <c r="II119" s="116"/>
      <c r="IJ119" s="116"/>
      <c r="IK119" s="116"/>
      <c r="IL119" s="116"/>
      <c r="IM119" s="116"/>
      <c r="IN119" s="116"/>
      <c r="IO119" s="116"/>
      <c r="IP119" s="116"/>
      <c r="IQ119" s="116"/>
      <c r="IR119" s="116"/>
      <c r="IS119" s="116"/>
      <c r="IT119" s="116"/>
      <c r="IU119" s="116"/>
      <c r="IV119" s="116"/>
      <c r="IW119" s="116"/>
    </row>
    <row r="120" spans="2:257" x14ac:dyDescent="0.3">
      <c r="B120" s="161" t="s">
        <v>171</v>
      </c>
      <c r="C120" s="255" t="s">
        <v>261</v>
      </c>
      <c r="D120" s="139"/>
      <c r="E120" s="115"/>
      <c r="F120" s="115"/>
      <c r="G120" s="115"/>
      <c r="H120" s="115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  <c r="CE120" s="116"/>
      <c r="CF120" s="116"/>
      <c r="CG120" s="116"/>
      <c r="CH120" s="116"/>
      <c r="CI120" s="116"/>
      <c r="CJ120" s="116"/>
      <c r="CK120" s="116"/>
      <c r="CL120" s="116"/>
      <c r="CM120" s="116"/>
      <c r="CN120" s="116"/>
      <c r="CO120" s="116"/>
      <c r="CP120" s="116"/>
      <c r="CQ120" s="116"/>
      <c r="CR120" s="116"/>
      <c r="CS120" s="116"/>
      <c r="CT120" s="116"/>
      <c r="CU120" s="116"/>
      <c r="CV120" s="116"/>
      <c r="CW120" s="116"/>
      <c r="CX120" s="116"/>
      <c r="CY120" s="116"/>
      <c r="CZ120" s="116"/>
      <c r="DA120" s="116"/>
      <c r="DB120" s="116"/>
      <c r="DC120" s="116"/>
      <c r="DD120" s="116"/>
      <c r="DE120" s="116"/>
      <c r="DF120" s="116"/>
      <c r="DG120" s="116"/>
      <c r="DH120" s="116"/>
      <c r="DI120" s="116"/>
      <c r="DJ120" s="116"/>
      <c r="DK120" s="116"/>
      <c r="DL120" s="116"/>
      <c r="DM120" s="116"/>
      <c r="DN120" s="116"/>
      <c r="DO120" s="116"/>
      <c r="DP120" s="116"/>
      <c r="DQ120" s="116"/>
      <c r="DR120" s="116"/>
      <c r="DS120" s="116"/>
      <c r="DT120" s="116"/>
      <c r="DU120" s="116"/>
      <c r="DV120" s="116"/>
      <c r="DW120" s="116"/>
      <c r="DX120" s="116"/>
      <c r="DY120" s="116"/>
      <c r="DZ120" s="116"/>
      <c r="EA120" s="116"/>
      <c r="EB120" s="116"/>
      <c r="EC120" s="116"/>
      <c r="ED120" s="116"/>
      <c r="EE120" s="116"/>
      <c r="EF120" s="116"/>
      <c r="EG120" s="116"/>
      <c r="EH120" s="116"/>
      <c r="EI120" s="116"/>
      <c r="EJ120" s="116"/>
      <c r="EK120" s="116"/>
      <c r="EL120" s="116"/>
      <c r="EM120" s="116"/>
      <c r="EN120" s="116"/>
      <c r="EO120" s="116"/>
      <c r="EP120" s="116"/>
      <c r="EQ120" s="116"/>
      <c r="ER120" s="116"/>
      <c r="ES120" s="116"/>
      <c r="ET120" s="116"/>
      <c r="EU120" s="116"/>
      <c r="EV120" s="116"/>
      <c r="EW120" s="116"/>
      <c r="EX120" s="116"/>
      <c r="EY120" s="116"/>
      <c r="EZ120" s="116"/>
      <c r="FA120" s="116"/>
      <c r="FB120" s="116"/>
      <c r="FC120" s="116"/>
      <c r="FD120" s="116"/>
      <c r="FE120" s="116"/>
      <c r="FF120" s="116"/>
      <c r="FG120" s="116"/>
      <c r="FH120" s="116"/>
      <c r="FI120" s="116"/>
      <c r="FJ120" s="116"/>
      <c r="FK120" s="116"/>
      <c r="FL120" s="116"/>
      <c r="FM120" s="116"/>
      <c r="FN120" s="116"/>
      <c r="FO120" s="116"/>
      <c r="FP120" s="116"/>
      <c r="FQ120" s="116"/>
      <c r="FR120" s="116"/>
      <c r="FS120" s="116"/>
      <c r="FT120" s="116"/>
      <c r="FU120" s="116"/>
      <c r="FV120" s="116"/>
      <c r="FW120" s="116"/>
      <c r="FX120" s="116"/>
      <c r="FY120" s="116"/>
      <c r="FZ120" s="116"/>
      <c r="GA120" s="116"/>
      <c r="GB120" s="116"/>
      <c r="GC120" s="116"/>
      <c r="GD120" s="116"/>
      <c r="GE120" s="116"/>
      <c r="GF120" s="116"/>
      <c r="GG120" s="116"/>
      <c r="GH120" s="116"/>
      <c r="GI120" s="116"/>
      <c r="GJ120" s="116"/>
      <c r="GK120" s="116"/>
      <c r="GL120" s="116"/>
      <c r="GM120" s="116"/>
      <c r="GN120" s="116"/>
      <c r="GO120" s="116"/>
      <c r="GP120" s="116"/>
      <c r="GQ120" s="116"/>
      <c r="GR120" s="116"/>
      <c r="GS120" s="116"/>
      <c r="GT120" s="116"/>
      <c r="GU120" s="116"/>
      <c r="GV120" s="116"/>
      <c r="GW120" s="116"/>
      <c r="GX120" s="116"/>
      <c r="GY120" s="116"/>
      <c r="GZ120" s="116"/>
      <c r="HA120" s="116"/>
      <c r="HB120" s="116"/>
      <c r="HC120" s="116"/>
      <c r="HD120" s="116"/>
      <c r="HE120" s="116"/>
      <c r="HF120" s="116"/>
      <c r="HG120" s="116"/>
      <c r="HH120" s="116"/>
      <c r="HI120" s="116"/>
      <c r="HJ120" s="116"/>
      <c r="HK120" s="116"/>
      <c r="HL120" s="116"/>
      <c r="HM120" s="116"/>
      <c r="HN120" s="116"/>
      <c r="HO120" s="116"/>
      <c r="HP120" s="116"/>
      <c r="HQ120" s="116"/>
      <c r="HR120" s="116"/>
      <c r="HS120" s="116"/>
      <c r="HT120" s="116"/>
      <c r="HU120" s="116"/>
      <c r="HV120" s="116"/>
      <c r="HW120" s="116"/>
      <c r="HX120" s="116"/>
      <c r="HY120" s="116"/>
      <c r="HZ120" s="116"/>
      <c r="IA120" s="116"/>
      <c r="IB120" s="116"/>
      <c r="IC120" s="116"/>
      <c r="ID120" s="116"/>
      <c r="IE120" s="116"/>
      <c r="IF120" s="116"/>
      <c r="IG120" s="116"/>
      <c r="IH120" s="116"/>
      <c r="II120" s="116"/>
      <c r="IJ120" s="116"/>
      <c r="IK120" s="116"/>
      <c r="IL120" s="116"/>
      <c r="IM120" s="116"/>
      <c r="IN120" s="116"/>
      <c r="IO120" s="116"/>
      <c r="IP120" s="116"/>
      <c r="IQ120" s="116"/>
      <c r="IR120" s="116"/>
      <c r="IS120" s="116"/>
      <c r="IT120" s="116"/>
      <c r="IU120" s="116"/>
      <c r="IV120" s="116"/>
      <c r="IW120" s="116"/>
    </row>
    <row r="121" spans="2:257" x14ac:dyDescent="0.3">
      <c r="B121" s="224"/>
      <c r="C121" s="116"/>
      <c r="D121" s="139"/>
      <c r="E121" s="115"/>
      <c r="F121" s="115"/>
      <c r="G121" s="115"/>
      <c r="H121" s="115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  <c r="BD121" s="116"/>
      <c r="BE121" s="116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  <c r="CB121" s="116"/>
      <c r="CC121" s="116"/>
      <c r="CD121" s="116"/>
      <c r="CE121" s="116"/>
      <c r="CF121" s="116"/>
      <c r="CG121" s="116"/>
      <c r="CH121" s="116"/>
      <c r="CI121" s="116"/>
      <c r="CJ121" s="116"/>
      <c r="CK121" s="116"/>
      <c r="CL121" s="116"/>
      <c r="CM121" s="116"/>
      <c r="CN121" s="116"/>
      <c r="CO121" s="116"/>
      <c r="CP121" s="116"/>
      <c r="CQ121" s="116"/>
      <c r="CR121" s="116"/>
      <c r="CS121" s="116"/>
      <c r="CT121" s="116"/>
      <c r="CU121" s="116"/>
      <c r="CV121" s="116"/>
      <c r="CW121" s="116"/>
      <c r="CX121" s="116"/>
      <c r="CY121" s="116"/>
      <c r="CZ121" s="116"/>
      <c r="DA121" s="116"/>
      <c r="DB121" s="116"/>
      <c r="DC121" s="116"/>
      <c r="DD121" s="116"/>
      <c r="DE121" s="116"/>
      <c r="DF121" s="116"/>
      <c r="DG121" s="116"/>
      <c r="DH121" s="116"/>
      <c r="DI121" s="116"/>
      <c r="DJ121" s="116"/>
      <c r="DK121" s="116"/>
      <c r="DL121" s="116"/>
      <c r="DM121" s="116"/>
      <c r="DN121" s="116"/>
      <c r="DO121" s="116"/>
      <c r="DP121" s="116"/>
      <c r="DQ121" s="116"/>
      <c r="DR121" s="116"/>
      <c r="DS121" s="116"/>
      <c r="DT121" s="116"/>
      <c r="DU121" s="116"/>
      <c r="DV121" s="116"/>
      <c r="DW121" s="116"/>
      <c r="DX121" s="116"/>
      <c r="DY121" s="116"/>
      <c r="DZ121" s="116"/>
      <c r="EA121" s="116"/>
      <c r="EB121" s="116"/>
      <c r="EC121" s="116"/>
      <c r="ED121" s="116"/>
      <c r="EE121" s="116"/>
      <c r="EF121" s="116"/>
      <c r="EG121" s="116"/>
      <c r="EH121" s="116"/>
      <c r="EI121" s="116"/>
      <c r="EJ121" s="116"/>
      <c r="EK121" s="116"/>
      <c r="EL121" s="116"/>
      <c r="EM121" s="116"/>
      <c r="EN121" s="116"/>
      <c r="EO121" s="116"/>
      <c r="EP121" s="116"/>
      <c r="EQ121" s="116"/>
      <c r="ER121" s="116"/>
      <c r="ES121" s="116"/>
      <c r="ET121" s="116"/>
      <c r="EU121" s="116"/>
      <c r="EV121" s="116"/>
      <c r="EW121" s="116"/>
      <c r="EX121" s="116"/>
      <c r="EY121" s="116"/>
      <c r="EZ121" s="116"/>
      <c r="FA121" s="116"/>
      <c r="FB121" s="116"/>
      <c r="FC121" s="116"/>
      <c r="FD121" s="116"/>
      <c r="FE121" s="116"/>
      <c r="FF121" s="116"/>
      <c r="FG121" s="116"/>
      <c r="FH121" s="116"/>
      <c r="FI121" s="116"/>
      <c r="FJ121" s="116"/>
      <c r="FK121" s="116"/>
      <c r="FL121" s="116"/>
      <c r="FM121" s="116"/>
      <c r="FN121" s="116"/>
      <c r="FO121" s="116"/>
      <c r="FP121" s="116"/>
      <c r="FQ121" s="116"/>
      <c r="FR121" s="116"/>
      <c r="FS121" s="116"/>
      <c r="FT121" s="116"/>
      <c r="FU121" s="116"/>
      <c r="FV121" s="116"/>
      <c r="FW121" s="116"/>
      <c r="FX121" s="116"/>
      <c r="FY121" s="116"/>
      <c r="FZ121" s="116"/>
      <c r="GA121" s="116"/>
      <c r="GB121" s="116"/>
      <c r="GC121" s="116"/>
      <c r="GD121" s="116"/>
      <c r="GE121" s="116"/>
      <c r="GF121" s="116"/>
      <c r="GG121" s="116"/>
      <c r="GH121" s="116"/>
      <c r="GI121" s="116"/>
      <c r="GJ121" s="116"/>
      <c r="GK121" s="116"/>
      <c r="GL121" s="116"/>
      <c r="GM121" s="116"/>
      <c r="GN121" s="116"/>
      <c r="GO121" s="116"/>
      <c r="GP121" s="116"/>
      <c r="GQ121" s="116"/>
      <c r="GR121" s="116"/>
      <c r="GS121" s="116"/>
      <c r="GT121" s="116"/>
      <c r="GU121" s="116"/>
      <c r="GV121" s="116"/>
      <c r="GW121" s="116"/>
      <c r="GX121" s="116"/>
      <c r="GY121" s="116"/>
      <c r="GZ121" s="116"/>
      <c r="HA121" s="116"/>
      <c r="HB121" s="116"/>
      <c r="HC121" s="116"/>
      <c r="HD121" s="116"/>
      <c r="HE121" s="116"/>
      <c r="HF121" s="116"/>
      <c r="HG121" s="116"/>
      <c r="HH121" s="116"/>
      <c r="HI121" s="116"/>
      <c r="HJ121" s="116"/>
      <c r="HK121" s="116"/>
      <c r="HL121" s="116"/>
      <c r="HM121" s="116"/>
      <c r="HN121" s="116"/>
      <c r="HO121" s="116"/>
      <c r="HP121" s="116"/>
      <c r="HQ121" s="116"/>
      <c r="HR121" s="116"/>
      <c r="HS121" s="116"/>
      <c r="HT121" s="116"/>
      <c r="HU121" s="116"/>
      <c r="HV121" s="116"/>
      <c r="HW121" s="116"/>
      <c r="HX121" s="116"/>
      <c r="HY121" s="116"/>
      <c r="HZ121" s="116"/>
      <c r="IA121" s="116"/>
      <c r="IB121" s="116"/>
      <c r="IC121" s="116"/>
      <c r="ID121" s="116"/>
      <c r="IE121" s="116"/>
      <c r="IF121" s="116"/>
      <c r="IG121" s="116"/>
      <c r="IH121" s="116"/>
      <c r="II121" s="116"/>
      <c r="IJ121" s="116"/>
      <c r="IK121" s="116"/>
      <c r="IL121" s="116"/>
      <c r="IM121" s="116"/>
      <c r="IN121" s="116"/>
      <c r="IO121" s="116"/>
      <c r="IP121" s="116"/>
      <c r="IQ121" s="116"/>
      <c r="IR121" s="116"/>
      <c r="IS121" s="116"/>
      <c r="IT121" s="116"/>
      <c r="IU121" s="116"/>
      <c r="IV121" s="116"/>
      <c r="IW121" s="116"/>
    </row>
    <row r="122" spans="2:257" x14ac:dyDescent="0.3">
      <c r="B122" s="370" t="s">
        <v>178</v>
      </c>
      <c r="C122" s="370"/>
      <c r="D122" s="370"/>
      <c r="E122" s="370"/>
      <c r="F122" s="370"/>
      <c r="G122" s="115"/>
      <c r="H122" s="115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  <c r="BD122" s="116"/>
      <c r="BE122" s="116"/>
      <c r="BF122" s="116"/>
      <c r="BG122" s="116"/>
      <c r="BH122" s="116"/>
      <c r="BI122" s="116"/>
      <c r="BJ122" s="116"/>
      <c r="BK122" s="116"/>
      <c r="BL122" s="116"/>
      <c r="BM122" s="116"/>
      <c r="BN122" s="116"/>
      <c r="BO122" s="116"/>
      <c r="BP122" s="116"/>
      <c r="BQ122" s="116"/>
      <c r="BR122" s="116"/>
      <c r="BS122" s="116"/>
      <c r="BT122" s="116"/>
      <c r="BU122" s="116"/>
      <c r="BV122" s="116"/>
      <c r="BW122" s="116"/>
      <c r="BX122" s="116"/>
      <c r="BY122" s="116"/>
      <c r="BZ122" s="116"/>
      <c r="CA122" s="116"/>
      <c r="CB122" s="116"/>
      <c r="CC122" s="116"/>
      <c r="CD122" s="116"/>
      <c r="CE122" s="116"/>
      <c r="CF122" s="116"/>
      <c r="CG122" s="116"/>
      <c r="CH122" s="116"/>
      <c r="CI122" s="116"/>
      <c r="CJ122" s="116"/>
      <c r="CK122" s="116"/>
      <c r="CL122" s="116"/>
      <c r="CM122" s="116"/>
      <c r="CN122" s="116"/>
      <c r="CO122" s="116"/>
      <c r="CP122" s="116"/>
      <c r="CQ122" s="116"/>
      <c r="CR122" s="116"/>
      <c r="CS122" s="116"/>
      <c r="CT122" s="116"/>
      <c r="CU122" s="116"/>
      <c r="CV122" s="116"/>
      <c r="CW122" s="116"/>
      <c r="CX122" s="116"/>
      <c r="CY122" s="116"/>
      <c r="CZ122" s="116"/>
      <c r="DA122" s="116"/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  <c r="DL122" s="116"/>
      <c r="DM122" s="116"/>
      <c r="DN122" s="116"/>
      <c r="DO122" s="116"/>
      <c r="DP122" s="116"/>
      <c r="DQ122" s="116"/>
      <c r="DR122" s="116"/>
      <c r="DS122" s="116"/>
      <c r="DT122" s="116"/>
      <c r="DU122" s="116"/>
      <c r="DV122" s="116"/>
      <c r="DW122" s="116"/>
      <c r="DX122" s="116"/>
      <c r="DY122" s="116"/>
      <c r="DZ122" s="116"/>
      <c r="EA122" s="116"/>
      <c r="EB122" s="116"/>
      <c r="EC122" s="116"/>
      <c r="ED122" s="116"/>
      <c r="EE122" s="116"/>
      <c r="EF122" s="116"/>
      <c r="EG122" s="116"/>
      <c r="EH122" s="116"/>
      <c r="EI122" s="116"/>
      <c r="EJ122" s="116"/>
      <c r="EK122" s="116"/>
      <c r="EL122" s="116"/>
      <c r="EM122" s="116"/>
      <c r="EN122" s="116"/>
      <c r="EO122" s="116"/>
      <c r="EP122" s="116"/>
      <c r="EQ122" s="116"/>
      <c r="ER122" s="116"/>
      <c r="ES122" s="116"/>
      <c r="ET122" s="116"/>
      <c r="EU122" s="116"/>
      <c r="EV122" s="116"/>
      <c r="EW122" s="116"/>
      <c r="EX122" s="116"/>
      <c r="EY122" s="116"/>
      <c r="EZ122" s="116"/>
      <c r="FA122" s="116"/>
      <c r="FB122" s="116"/>
      <c r="FC122" s="116"/>
      <c r="FD122" s="116"/>
      <c r="FE122" s="116"/>
      <c r="FF122" s="116"/>
      <c r="FG122" s="116"/>
      <c r="FH122" s="116"/>
      <c r="FI122" s="116"/>
      <c r="FJ122" s="116"/>
      <c r="FK122" s="116"/>
      <c r="FL122" s="116"/>
      <c r="FM122" s="116"/>
      <c r="FN122" s="116"/>
      <c r="FO122" s="116"/>
      <c r="FP122" s="116"/>
      <c r="FQ122" s="116"/>
      <c r="FR122" s="116"/>
      <c r="FS122" s="116"/>
      <c r="FT122" s="116"/>
      <c r="FU122" s="116"/>
      <c r="FV122" s="116"/>
      <c r="FW122" s="116"/>
      <c r="FX122" s="116"/>
      <c r="FY122" s="116"/>
      <c r="FZ122" s="116"/>
      <c r="GA122" s="116"/>
      <c r="GB122" s="116"/>
      <c r="GC122" s="116"/>
      <c r="GD122" s="116"/>
      <c r="GE122" s="116"/>
      <c r="GF122" s="116"/>
      <c r="GG122" s="116"/>
      <c r="GH122" s="116"/>
      <c r="GI122" s="116"/>
      <c r="GJ122" s="116"/>
      <c r="GK122" s="116"/>
      <c r="GL122" s="116"/>
      <c r="GM122" s="116"/>
      <c r="GN122" s="116"/>
      <c r="GO122" s="116"/>
      <c r="GP122" s="116"/>
      <c r="GQ122" s="116"/>
      <c r="GR122" s="116"/>
      <c r="GS122" s="116"/>
      <c r="GT122" s="116"/>
      <c r="GU122" s="116"/>
      <c r="GV122" s="116"/>
      <c r="GW122" s="116"/>
      <c r="GX122" s="116"/>
      <c r="GY122" s="116"/>
      <c r="GZ122" s="116"/>
      <c r="HA122" s="116"/>
      <c r="HB122" s="116"/>
      <c r="HC122" s="116"/>
      <c r="HD122" s="116"/>
      <c r="HE122" s="116"/>
      <c r="HF122" s="116"/>
      <c r="HG122" s="116"/>
      <c r="HH122" s="116"/>
      <c r="HI122" s="116"/>
      <c r="HJ122" s="116"/>
      <c r="HK122" s="116"/>
      <c r="HL122" s="116"/>
      <c r="HM122" s="116"/>
      <c r="HN122" s="116"/>
      <c r="HO122" s="116"/>
      <c r="HP122" s="116"/>
      <c r="HQ122" s="116"/>
      <c r="HR122" s="116"/>
      <c r="HS122" s="116"/>
      <c r="HT122" s="116"/>
      <c r="HU122" s="116"/>
      <c r="HV122" s="116"/>
      <c r="HW122" s="116"/>
      <c r="HX122" s="116"/>
      <c r="HY122" s="116"/>
      <c r="HZ122" s="116"/>
      <c r="IA122" s="116"/>
      <c r="IB122" s="116"/>
      <c r="IC122" s="116"/>
      <c r="ID122" s="116"/>
      <c r="IE122" s="116"/>
      <c r="IF122" s="116"/>
      <c r="IG122" s="116"/>
      <c r="IH122" s="116"/>
      <c r="II122" s="116"/>
      <c r="IJ122" s="116"/>
      <c r="IK122" s="116"/>
      <c r="IL122" s="116"/>
      <c r="IM122" s="116"/>
      <c r="IN122" s="116"/>
      <c r="IO122" s="116"/>
      <c r="IP122" s="116"/>
      <c r="IQ122" s="116"/>
      <c r="IR122" s="116"/>
      <c r="IS122" s="116"/>
      <c r="IT122" s="116"/>
    </row>
    <row r="123" spans="2:257" x14ac:dyDescent="0.3">
      <c r="B123" s="369" t="s">
        <v>195</v>
      </c>
      <c r="C123" s="369"/>
      <c r="D123" s="369"/>
      <c r="E123" s="369"/>
      <c r="F123" s="369"/>
      <c r="G123" s="115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16"/>
      <c r="BD123" s="116"/>
      <c r="BE123" s="116"/>
      <c r="BF123" s="116"/>
      <c r="BG123" s="116"/>
      <c r="BH123" s="116"/>
      <c r="BI123" s="116"/>
      <c r="BJ123" s="116"/>
      <c r="BK123" s="116"/>
      <c r="BL123" s="116"/>
      <c r="BM123" s="116"/>
      <c r="BN123" s="116"/>
      <c r="BO123" s="116"/>
      <c r="BP123" s="116"/>
      <c r="BQ123" s="116"/>
      <c r="BR123" s="116"/>
      <c r="BS123" s="116"/>
      <c r="BT123" s="116"/>
      <c r="BU123" s="116"/>
      <c r="BV123" s="116"/>
      <c r="BW123" s="116"/>
      <c r="BX123" s="116"/>
      <c r="BY123" s="116"/>
      <c r="BZ123" s="116"/>
      <c r="CA123" s="116"/>
      <c r="CB123" s="116"/>
      <c r="CC123" s="116"/>
      <c r="CD123" s="116"/>
      <c r="CE123" s="116"/>
      <c r="CF123" s="116"/>
      <c r="CG123" s="116"/>
      <c r="CH123" s="116"/>
      <c r="CI123" s="116"/>
      <c r="CJ123" s="116"/>
      <c r="CK123" s="116"/>
      <c r="CL123" s="116"/>
      <c r="CM123" s="116"/>
      <c r="CN123" s="116"/>
      <c r="CO123" s="116"/>
      <c r="CP123" s="116"/>
      <c r="CQ123" s="116"/>
      <c r="CR123" s="116"/>
      <c r="CS123" s="116"/>
      <c r="CT123" s="116"/>
      <c r="CU123" s="116"/>
      <c r="CV123" s="116"/>
      <c r="CW123" s="116"/>
      <c r="CX123" s="116"/>
      <c r="CY123" s="116"/>
      <c r="CZ123" s="116"/>
      <c r="DA123" s="116"/>
      <c r="DB123" s="116"/>
      <c r="DC123" s="116"/>
      <c r="DD123" s="116"/>
      <c r="DE123" s="116"/>
      <c r="DF123" s="116"/>
      <c r="DG123" s="116"/>
      <c r="DH123" s="116"/>
      <c r="DI123" s="116"/>
      <c r="DJ123" s="116"/>
      <c r="DK123" s="116"/>
      <c r="DL123" s="116"/>
      <c r="DM123" s="116"/>
      <c r="DN123" s="116"/>
      <c r="DO123" s="116"/>
      <c r="DP123" s="116"/>
      <c r="DQ123" s="116"/>
      <c r="DR123" s="116"/>
      <c r="DS123" s="116"/>
      <c r="DT123" s="116"/>
      <c r="DU123" s="116"/>
      <c r="DV123" s="116"/>
      <c r="DW123" s="116"/>
      <c r="DX123" s="116"/>
      <c r="DY123" s="116"/>
      <c r="DZ123" s="116"/>
      <c r="EA123" s="116"/>
      <c r="EB123" s="116"/>
      <c r="EC123" s="116"/>
      <c r="ED123" s="116"/>
      <c r="EE123" s="116"/>
      <c r="EF123" s="116"/>
      <c r="EG123" s="116"/>
      <c r="EH123" s="116"/>
      <c r="EI123" s="116"/>
      <c r="EJ123" s="116"/>
      <c r="EK123" s="116"/>
      <c r="EL123" s="116"/>
      <c r="EM123" s="116"/>
      <c r="EN123" s="116"/>
      <c r="EO123" s="116"/>
      <c r="EP123" s="116"/>
      <c r="EQ123" s="116"/>
      <c r="ER123" s="116"/>
      <c r="ES123" s="116"/>
      <c r="ET123" s="116"/>
      <c r="EU123" s="116"/>
      <c r="EV123" s="116"/>
      <c r="EW123" s="116"/>
      <c r="EX123" s="116"/>
      <c r="EY123" s="116"/>
      <c r="EZ123" s="116"/>
      <c r="FA123" s="116"/>
      <c r="FB123" s="116"/>
      <c r="FC123" s="116"/>
      <c r="FD123" s="116"/>
      <c r="FE123" s="116"/>
      <c r="FF123" s="116"/>
      <c r="FG123" s="116"/>
      <c r="FH123" s="116"/>
      <c r="FI123" s="116"/>
      <c r="FJ123" s="116"/>
      <c r="FK123" s="116"/>
      <c r="FL123" s="116"/>
      <c r="FM123" s="116"/>
      <c r="FN123" s="116"/>
      <c r="FO123" s="116"/>
      <c r="FP123" s="116"/>
      <c r="FQ123" s="116"/>
      <c r="FR123" s="116"/>
      <c r="FS123" s="116"/>
      <c r="FT123" s="116"/>
      <c r="FU123" s="116"/>
      <c r="FV123" s="116"/>
      <c r="FW123" s="116"/>
      <c r="FX123" s="116"/>
      <c r="FY123" s="116"/>
      <c r="FZ123" s="116"/>
      <c r="GA123" s="116"/>
      <c r="GB123" s="116"/>
      <c r="GC123" s="116"/>
      <c r="GD123" s="116"/>
      <c r="GE123" s="116"/>
      <c r="GF123" s="116"/>
      <c r="GG123" s="116"/>
      <c r="GH123" s="116"/>
      <c r="GI123" s="116"/>
      <c r="GJ123" s="116"/>
      <c r="GK123" s="116"/>
      <c r="GL123" s="116"/>
      <c r="GM123" s="116"/>
      <c r="GN123" s="116"/>
      <c r="GO123" s="116"/>
      <c r="GP123" s="116"/>
      <c r="GQ123" s="116"/>
      <c r="GR123" s="116"/>
      <c r="GS123" s="116"/>
      <c r="GT123" s="116"/>
      <c r="GU123" s="116"/>
      <c r="GV123" s="116"/>
      <c r="GW123" s="116"/>
      <c r="GX123" s="116"/>
      <c r="GY123" s="116"/>
      <c r="GZ123" s="116"/>
      <c r="HA123" s="116"/>
      <c r="HB123" s="116"/>
      <c r="HC123" s="116"/>
      <c r="HD123" s="116"/>
      <c r="HE123" s="116"/>
      <c r="HF123" s="116"/>
      <c r="HG123" s="116"/>
      <c r="HH123" s="116"/>
      <c r="HI123" s="116"/>
      <c r="HJ123" s="116"/>
      <c r="HK123" s="116"/>
      <c r="HL123" s="116"/>
      <c r="HM123" s="116"/>
      <c r="HN123" s="116"/>
      <c r="HO123" s="116"/>
      <c r="HP123" s="116"/>
      <c r="HQ123" s="116"/>
      <c r="HR123" s="116"/>
      <c r="HS123" s="116"/>
      <c r="HT123" s="116"/>
      <c r="HU123" s="116"/>
      <c r="HV123" s="116"/>
      <c r="HW123" s="116"/>
      <c r="HX123" s="116"/>
      <c r="HY123" s="116"/>
      <c r="HZ123" s="116"/>
      <c r="IA123" s="116"/>
      <c r="IB123" s="116"/>
      <c r="IC123" s="116"/>
      <c r="ID123" s="116"/>
      <c r="IE123" s="116"/>
      <c r="IF123" s="116"/>
      <c r="IG123" s="116"/>
      <c r="IH123" s="116"/>
      <c r="II123" s="116"/>
      <c r="IJ123" s="116"/>
      <c r="IK123" s="116"/>
      <c r="IL123" s="116"/>
      <c r="IM123" s="116"/>
      <c r="IN123" s="116"/>
      <c r="IO123" s="116"/>
      <c r="IP123" s="116"/>
      <c r="IQ123" s="116"/>
      <c r="IR123" s="116"/>
      <c r="IS123" s="116"/>
      <c r="IT123" s="116"/>
    </row>
    <row r="124" spans="2:257" x14ac:dyDescent="0.3">
      <c r="B124" s="162" t="s">
        <v>196</v>
      </c>
      <c r="C124" s="163" t="s">
        <v>212</v>
      </c>
      <c r="D124" s="163" t="s">
        <v>213</v>
      </c>
      <c r="E124" s="163" t="s">
        <v>197</v>
      </c>
      <c r="F124" s="163" t="s">
        <v>198</v>
      </c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  <c r="BD124" s="116"/>
      <c r="BE124" s="116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116"/>
      <c r="CB124" s="116"/>
      <c r="CC124" s="116"/>
      <c r="CD124" s="116"/>
      <c r="CE124" s="116"/>
      <c r="CF124" s="116"/>
      <c r="CG124" s="116"/>
      <c r="CH124" s="116"/>
      <c r="CI124" s="116"/>
      <c r="CJ124" s="116"/>
      <c r="CK124" s="116"/>
      <c r="CL124" s="116"/>
      <c r="CM124" s="116"/>
      <c r="CN124" s="116"/>
      <c r="CO124" s="116"/>
      <c r="CP124" s="116"/>
      <c r="CQ124" s="116"/>
      <c r="CR124" s="116"/>
      <c r="CS124" s="116"/>
      <c r="CT124" s="116"/>
      <c r="CU124" s="116"/>
      <c r="CV124" s="116"/>
      <c r="CW124" s="116"/>
      <c r="CX124" s="116"/>
      <c r="CY124" s="116"/>
      <c r="CZ124" s="116"/>
      <c r="DA124" s="116"/>
      <c r="DB124" s="116"/>
      <c r="DC124" s="116"/>
      <c r="DD124" s="116"/>
      <c r="DE124" s="116"/>
      <c r="DF124" s="116"/>
      <c r="DG124" s="116"/>
      <c r="DH124" s="116"/>
      <c r="DI124" s="116"/>
      <c r="DJ124" s="116"/>
      <c r="DK124" s="116"/>
      <c r="DL124" s="116"/>
      <c r="DM124" s="116"/>
      <c r="DN124" s="116"/>
      <c r="DO124" s="116"/>
      <c r="DP124" s="116"/>
      <c r="DQ124" s="116"/>
      <c r="DR124" s="116"/>
      <c r="DS124" s="116"/>
      <c r="DT124" s="116"/>
      <c r="DU124" s="116"/>
      <c r="DV124" s="116"/>
      <c r="DW124" s="116"/>
      <c r="DX124" s="116"/>
      <c r="DY124" s="116"/>
      <c r="DZ124" s="116"/>
      <c r="EA124" s="116"/>
      <c r="EB124" s="116"/>
      <c r="EC124" s="116"/>
      <c r="ED124" s="116"/>
      <c r="EE124" s="116"/>
      <c r="EF124" s="116"/>
      <c r="EG124" s="116"/>
      <c r="EH124" s="116"/>
      <c r="EI124" s="116"/>
      <c r="EJ124" s="116"/>
      <c r="EK124" s="116"/>
      <c r="EL124" s="116"/>
      <c r="EM124" s="116"/>
      <c r="EN124" s="116"/>
      <c r="EO124" s="116"/>
      <c r="EP124" s="116"/>
      <c r="EQ124" s="116"/>
      <c r="ER124" s="116"/>
      <c r="ES124" s="116"/>
      <c r="ET124" s="116"/>
      <c r="EU124" s="116"/>
      <c r="EV124" s="116"/>
      <c r="EW124" s="116"/>
      <c r="EX124" s="116"/>
      <c r="EY124" s="116"/>
      <c r="EZ124" s="116"/>
      <c r="FA124" s="116"/>
      <c r="FB124" s="116"/>
      <c r="FC124" s="116"/>
      <c r="FD124" s="116"/>
      <c r="FE124" s="116"/>
      <c r="FF124" s="116"/>
      <c r="FG124" s="116"/>
      <c r="FH124" s="116"/>
      <c r="FI124" s="116"/>
      <c r="FJ124" s="116"/>
      <c r="FK124" s="116"/>
      <c r="FL124" s="116"/>
      <c r="FM124" s="116"/>
      <c r="FN124" s="116"/>
      <c r="FO124" s="116"/>
      <c r="FP124" s="116"/>
      <c r="FQ124" s="116"/>
      <c r="FR124" s="116"/>
      <c r="FS124" s="116"/>
      <c r="FT124" s="116"/>
      <c r="FU124" s="116"/>
      <c r="FV124" s="116"/>
      <c r="FW124" s="116"/>
      <c r="FX124" s="116"/>
      <c r="FY124" s="116"/>
      <c r="FZ124" s="116"/>
      <c r="GA124" s="116"/>
      <c r="GB124" s="116"/>
      <c r="GC124" s="116"/>
      <c r="GD124" s="116"/>
      <c r="GE124" s="116"/>
      <c r="GF124" s="116"/>
      <c r="GG124" s="116"/>
      <c r="GH124" s="116"/>
      <c r="GI124" s="116"/>
      <c r="GJ124" s="116"/>
      <c r="GK124" s="116"/>
      <c r="GL124" s="116"/>
      <c r="GM124" s="116"/>
      <c r="GN124" s="116"/>
      <c r="GO124" s="116"/>
      <c r="GP124" s="116"/>
      <c r="GQ124" s="116"/>
      <c r="GR124" s="116"/>
      <c r="GS124" s="116"/>
      <c r="GT124" s="116"/>
      <c r="GU124" s="116"/>
      <c r="GV124" s="116"/>
      <c r="GW124" s="116"/>
      <c r="GX124" s="116"/>
      <c r="GY124" s="116"/>
      <c r="GZ124" s="116"/>
      <c r="HA124" s="116"/>
      <c r="HB124" s="116"/>
      <c r="HC124" s="116"/>
      <c r="HD124" s="116"/>
      <c r="HE124" s="116"/>
      <c r="HF124" s="116"/>
      <c r="HG124" s="116"/>
      <c r="HH124" s="116"/>
      <c r="HI124" s="116"/>
      <c r="HJ124" s="116"/>
      <c r="HK124" s="116"/>
      <c r="HL124" s="116"/>
      <c r="HM124" s="116"/>
      <c r="HN124" s="116"/>
      <c r="HO124" s="116"/>
      <c r="HP124" s="116"/>
      <c r="HQ124" s="116"/>
      <c r="HR124" s="116"/>
      <c r="HS124" s="116"/>
      <c r="HT124" s="116"/>
      <c r="HU124" s="116"/>
      <c r="HV124" s="116"/>
      <c r="HW124" s="116"/>
      <c r="HX124" s="116"/>
      <c r="HY124" s="116"/>
      <c r="HZ124" s="116"/>
      <c r="IA124" s="116"/>
      <c r="IB124" s="116"/>
      <c r="IC124" s="116"/>
      <c r="ID124" s="116"/>
      <c r="IE124" s="116"/>
      <c r="IF124" s="116"/>
      <c r="IG124" s="116"/>
      <c r="IH124" s="116"/>
      <c r="II124" s="116"/>
      <c r="IJ124" s="116"/>
      <c r="IK124" s="116"/>
      <c r="IL124" s="116"/>
      <c r="IM124" s="116"/>
      <c r="IN124" s="116"/>
      <c r="IO124" s="116"/>
      <c r="IP124" s="116"/>
      <c r="IQ124" s="116"/>
      <c r="IR124" s="116"/>
      <c r="IS124" s="116"/>
      <c r="IT124" s="116"/>
    </row>
    <row r="125" spans="2:257" x14ac:dyDescent="0.3">
      <c r="B125" s="103">
        <v>0</v>
      </c>
      <c r="C125" s="210"/>
      <c r="D125" s="211"/>
      <c r="E125" s="173"/>
      <c r="F125" s="211">
        <f>+C68</f>
        <v>50000000</v>
      </c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/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/>
      <c r="BT125" s="116"/>
      <c r="BU125" s="116"/>
      <c r="BV125" s="116"/>
      <c r="BW125" s="116"/>
      <c r="BX125" s="116"/>
      <c r="BY125" s="116"/>
      <c r="BZ125" s="116"/>
      <c r="CA125" s="116"/>
      <c r="CB125" s="116"/>
      <c r="CC125" s="116"/>
      <c r="CD125" s="116"/>
      <c r="CE125" s="116"/>
      <c r="CF125" s="116"/>
      <c r="CG125" s="116"/>
      <c r="CH125" s="116"/>
      <c r="CI125" s="116"/>
      <c r="CJ125" s="116"/>
      <c r="CK125" s="116"/>
      <c r="CL125" s="116"/>
      <c r="CM125" s="116"/>
      <c r="CN125" s="116"/>
      <c r="CO125" s="116"/>
      <c r="CP125" s="116"/>
      <c r="CQ125" s="116"/>
      <c r="CR125" s="116"/>
      <c r="CS125" s="116"/>
      <c r="CT125" s="116"/>
      <c r="CU125" s="116"/>
      <c r="CV125" s="116"/>
      <c r="CW125" s="116"/>
      <c r="CX125" s="116"/>
      <c r="CY125" s="116"/>
      <c r="CZ125" s="116"/>
      <c r="DA125" s="116"/>
      <c r="DB125" s="116"/>
      <c r="DC125" s="116"/>
      <c r="DD125" s="116"/>
      <c r="DE125" s="116"/>
      <c r="DF125" s="116"/>
      <c r="DG125" s="116"/>
      <c r="DH125" s="116"/>
      <c r="DI125" s="116"/>
      <c r="DJ125" s="116"/>
      <c r="DK125" s="116"/>
      <c r="DL125" s="116"/>
      <c r="DM125" s="116"/>
      <c r="DN125" s="116"/>
      <c r="DO125" s="116"/>
      <c r="DP125" s="116"/>
      <c r="DQ125" s="116"/>
      <c r="DR125" s="116"/>
      <c r="DS125" s="116"/>
      <c r="DT125" s="116"/>
      <c r="DU125" s="116"/>
      <c r="DV125" s="116"/>
      <c r="DW125" s="116"/>
      <c r="DX125" s="116"/>
      <c r="DY125" s="116"/>
      <c r="DZ125" s="116"/>
      <c r="EA125" s="116"/>
      <c r="EB125" s="116"/>
      <c r="EC125" s="116"/>
      <c r="ED125" s="116"/>
      <c r="EE125" s="116"/>
      <c r="EF125" s="116"/>
      <c r="EG125" s="116"/>
      <c r="EH125" s="116"/>
      <c r="EI125" s="116"/>
      <c r="EJ125" s="116"/>
      <c r="EK125" s="116"/>
      <c r="EL125" s="116"/>
      <c r="EM125" s="116"/>
      <c r="EN125" s="116"/>
      <c r="EO125" s="116"/>
      <c r="EP125" s="116"/>
      <c r="EQ125" s="116"/>
      <c r="ER125" s="116"/>
      <c r="ES125" s="116"/>
      <c r="ET125" s="116"/>
      <c r="EU125" s="116"/>
      <c r="EV125" s="116"/>
      <c r="EW125" s="116"/>
      <c r="EX125" s="116"/>
      <c r="EY125" s="116"/>
      <c r="EZ125" s="116"/>
      <c r="FA125" s="116"/>
      <c r="FB125" s="116"/>
      <c r="FC125" s="116"/>
      <c r="FD125" s="116"/>
      <c r="FE125" s="116"/>
      <c r="FF125" s="116"/>
      <c r="FG125" s="116"/>
      <c r="FH125" s="116"/>
      <c r="FI125" s="116"/>
      <c r="FJ125" s="116"/>
      <c r="FK125" s="116"/>
      <c r="FL125" s="116"/>
      <c r="FM125" s="116"/>
      <c r="FN125" s="116"/>
      <c r="FO125" s="116"/>
      <c r="FP125" s="116"/>
      <c r="FQ125" s="116"/>
      <c r="FR125" s="116"/>
      <c r="FS125" s="116"/>
      <c r="FT125" s="116"/>
      <c r="FU125" s="116"/>
      <c r="FV125" s="116"/>
      <c r="FW125" s="116"/>
      <c r="FX125" s="116"/>
      <c r="FY125" s="116"/>
      <c r="FZ125" s="116"/>
      <c r="GA125" s="116"/>
      <c r="GB125" s="116"/>
      <c r="GC125" s="116"/>
      <c r="GD125" s="116"/>
      <c r="GE125" s="116"/>
      <c r="GF125" s="116"/>
      <c r="GG125" s="116"/>
      <c r="GH125" s="116"/>
      <c r="GI125" s="116"/>
      <c r="GJ125" s="116"/>
      <c r="GK125" s="116"/>
      <c r="GL125" s="116"/>
      <c r="GM125" s="116"/>
      <c r="GN125" s="116"/>
      <c r="GO125" s="116"/>
      <c r="GP125" s="116"/>
      <c r="GQ125" s="116"/>
      <c r="GR125" s="116"/>
      <c r="GS125" s="116"/>
      <c r="GT125" s="116"/>
      <c r="GU125" s="116"/>
      <c r="GV125" s="116"/>
      <c r="GW125" s="116"/>
      <c r="GX125" s="116"/>
      <c r="GY125" s="116"/>
      <c r="GZ125" s="116"/>
      <c r="HA125" s="116"/>
      <c r="HB125" s="116"/>
      <c r="HC125" s="116"/>
      <c r="HD125" s="116"/>
      <c r="HE125" s="116"/>
      <c r="HF125" s="116"/>
      <c r="HG125" s="116"/>
      <c r="HH125" s="116"/>
      <c r="HI125" s="116"/>
      <c r="HJ125" s="116"/>
      <c r="HK125" s="116"/>
      <c r="HL125" s="116"/>
      <c r="HM125" s="116"/>
      <c r="HN125" s="116"/>
      <c r="HO125" s="116"/>
      <c r="HP125" s="116"/>
      <c r="HQ125" s="116"/>
      <c r="HR125" s="116"/>
      <c r="HS125" s="116"/>
      <c r="HT125" s="116"/>
      <c r="HU125" s="116"/>
      <c r="HV125" s="116"/>
      <c r="HW125" s="116"/>
      <c r="HX125" s="116"/>
      <c r="HY125" s="116"/>
      <c r="HZ125" s="116"/>
      <c r="IA125" s="116"/>
      <c r="IB125" s="116"/>
      <c r="IC125" s="116"/>
      <c r="ID125" s="116"/>
      <c r="IE125" s="116"/>
      <c r="IF125" s="116"/>
      <c r="IG125" s="116"/>
      <c r="IH125" s="116"/>
      <c r="II125" s="116"/>
      <c r="IJ125" s="116"/>
      <c r="IK125" s="116"/>
      <c r="IL125" s="116"/>
      <c r="IM125" s="116"/>
      <c r="IN125" s="116"/>
      <c r="IO125" s="116"/>
      <c r="IP125" s="116"/>
      <c r="IQ125" s="116"/>
      <c r="IR125" s="116"/>
      <c r="IS125" s="116"/>
      <c r="IT125" s="116"/>
    </row>
    <row r="126" spans="2:257" x14ac:dyDescent="0.3">
      <c r="B126" s="103">
        <v>1</v>
      </c>
      <c r="C126" s="270">
        <f>+-PMT(C69,C71,F125)</f>
        <v>18550417.357223008</v>
      </c>
      <c r="D126" s="211">
        <f>+F125*$C$69</f>
        <v>12445000</v>
      </c>
      <c r="E126" s="173">
        <f>+C126-D126</f>
        <v>6105417.3572230078</v>
      </c>
      <c r="F126" s="211">
        <f>+F125-E126</f>
        <v>43894582.642776996</v>
      </c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116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116"/>
      <c r="BX126" s="116"/>
      <c r="BY126" s="116"/>
      <c r="BZ126" s="116"/>
      <c r="CA126" s="116"/>
      <c r="CB126" s="116"/>
      <c r="CC126" s="116"/>
      <c r="CD126" s="116"/>
      <c r="CE126" s="116"/>
      <c r="CF126" s="116"/>
      <c r="CG126" s="116"/>
      <c r="CH126" s="116"/>
      <c r="CI126" s="116"/>
      <c r="CJ126" s="116"/>
      <c r="CK126" s="116"/>
      <c r="CL126" s="116"/>
      <c r="CM126" s="116"/>
      <c r="CN126" s="116"/>
      <c r="CO126" s="116"/>
      <c r="CP126" s="116"/>
      <c r="CQ126" s="116"/>
      <c r="CR126" s="116"/>
      <c r="CS126" s="116"/>
      <c r="CT126" s="116"/>
      <c r="CU126" s="116"/>
      <c r="CV126" s="116"/>
      <c r="CW126" s="116"/>
      <c r="CX126" s="116"/>
      <c r="CY126" s="116"/>
      <c r="CZ126" s="116"/>
      <c r="DA126" s="116"/>
      <c r="DB126" s="116"/>
      <c r="DC126" s="116"/>
      <c r="DD126" s="116"/>
      <c r="DE126" s="116"/>
      <c r="DF126" s="116"/>
      <c r="DG126" s="116"/>
      <c r="DH126" s="116"/>
      <c r="DI126" s="116"/>
      <c r="DJ126" s="116"/>
      <c r="DK126" s="116"/>
      <c r="DL126" s="116"/>
      <c r="DM126" s="116"/>
      <c r="DN126" s="116"/>
      <c r="DO126" s="116"/>
      <c r="DP126" s="116"/>
      <c r="DQ126" s="116"/>
      <c r="DR126" s="116"/>
      <c r="DS126" s="116"/>
      <c r="DT126" s="116"/>
      <c r="DU126" s="116"/>
      <c r="DV126" s="116"/>
      <c r="DW126" s="116"/>
      <c r="DX126" s="116"/>
      <c r="DY126" s="116"/>
      <c r="DZ126" s="116"/>
      <c r="EA126" s="116"/>
      <c r="EB126" s="116"/>
      <c r="EC126" s="116"/>
      <c r="ED126" s="116"/>
      <c r="EE126" s="116"/>
      <c r="EF126" s="116"/>
      <c r="EG126" s="116"/>
      <c r="EH126" s="116"/>
      <c r="EI126" s="116"/>
      <c r="EJ126" s="116"/>
      <c r="EK126" s="116"/>
      <c r="EL126" s="116"/>
      <c r="EM126" s="116"/>
      <c r="EN126" s="116"/>
      <c r="EO126" s="116"/>
      <c r="EP126" s="116"/>
      <c r="EQ126" s="116"/>
      <c r="ER126" s="116"/>
      <c r="ES126" s="116"/>
      <c r="ET126" s="116"/>
      <c r="EU126" s="116"/>
      <c r="EV126" s="116"/>
      <c r="EW126" s="116"/>
      <c r="EX126" s="116"/>
      <c r="EY126" s="116"/>
      <c r="EZ126" s="116"/>
      <c r="FA126" s="116"/>
      <c r="FB126" s="116"/>
      <c r="FC126" s="116"/>
      <c r="FD126" s="116"/>
      <c r="FE126" s="116"/>
      <c r="FF126" s="116"/>
      <c r="FG126" s="116"/>
      <c r="FH126" s="116"/>
      <c r="FI126" s="116"/>
      <c r="FJ126" s="116"/>
      <c r="FK126" s="116"/>
      <c r="FL126" s="116"/>
      <c r="FM126" s="116"/>
      <c r="FN126" s="116"/>
      <c r="FO126" s="116"/>
      <c r="FP126" s="116"/>
      <c r="FQ126" s="116"/>
      <c r="FR126" s="116"/>
      <c r="FS126" s="116"/>
      <c r="FT126" s="116"/>
      <c r="FU126" s="116"/>
      <c r="FV126" s="116"/>
      <c r="FW126" s="116"/>
      <c r="FX126" s="116"/>
      <c r="FY126" s="116"/>
      <c r="FZ126" s="116"/>
      <c r="GA126" s="116"/>
      <c r="GB126" s="116"/>
      <c r="GC126" s="116"/>
      <c r="GD126" s="116"/>
      <c r="GE126" s="116"/>
      <c r="GF126" s="116"/>
      <c r="GG126" s="116"/>
      <c r="GH126" s="116"/>
      <c r="GI126" s="116"/>
      <c r="GJ126" s="116"/>
      <c r="GK126" s="116"/>
      <c r="GL126" s="116"/>
      <c r="GM126" s="116"/>
      <c r="GN126" s="116"/>
      <c r="GO126" s="116"/>
      <c r="GP126" s="116"/>
      <c r="GQ126" s="116"/>
      <c r="GR126" s="116"/>
      <c r="GS126" s="116"/>
      <c r="GT126" s="116"/>
      <c r="GU126" s="116"/>
      <c r="GV126" s="116"/>
      <c r="GW126" s="116"/>
      <c r="GX126" s="116"/>
      <c r="GY126" s="116"/>
      <c r="GZ126" s="116"/>
      <c r="HA126" s="116"/>
      <c r="HB126" s="116"/>
      <c r="HC126" s="116"/>
      <c r="HD126" s="116"/>
      <c r="HE126" s="116"/>
      <c r="HF126" s="116"/>
      <c r="HG126" s="116"/>
      <c r="HH126" s="116"/>
      <c r="HI126" s="116"/>
      <c r="HJ126" s="116"/>
      <c r="HK126" s="116"/>
      <c r="HL126" s="116"/>
      <c r="HM126" s="116"/>
      <c r="HN126" s="116"/>
      <c r="HO126" s="116"/>
      <c r="HP126" s="116"/>
      <c r="HQ126" s="116"/>
      <c r="HR126" s="116"/>
      <c r="HS126" s="116"/>
      <c r="HT126" s="116"/>
      <c r="HU126" s="116"/>
      <c r="HV126" s="116"/>
      <c r="HW126" s="116"/>
      <c r="HX126" s="116"/>
      <c r="HY126" s="116"/>
      <c r="HZ126" s="116"/>
      <c r="IA126" s="116"/>
      <c r="IB126" s="116"/>
      <c r="IC126" s="116"/>
      <c r="ID126" s="116"/>
      <c r="IE126" s="116"/>
      <c r="IF126" s="116"/>
      <c r="IG126" s="116"/>
      <c r="IH126" s="116"/>
      <c r="II126" s="116"/>
      <c r="IJ126" s="116"/>
      <c r="IK126" s="116"/>
      <c r="IL126" s="116"/>
      <c r="IM126" s="116"/>
      <c r="IN126" s="116"/>
      <c r="IO126" s="116"/>
      <c r="IP126" s="116"/>
      <c r="IQ126" s="116"/>
      <c r="IR126" s="116"/>
      <c r="IS126" s="116"/>
      <c r="IT126" s="116"/>
    </row>
    <row r="127" spans="2:257" x14ac:dyDescent="0.3">
      <c r="B127" s="103">
        <v>2</v>
      </c>
      <c r="C127" s="173">
        <f>+C126</f>
        <v>18550417.357223008</v>
      </c>
      <c r="D127" s="211">
        <f>+F126*$C$69</f>
        <v>10925361.619787194</v>
      </c>
      <c r="E127" s="173">
        <f t="shared" ref="E127:E130" si="29">+C127-D127</f>
        <v>7625055.737435814</v>
      </c>
      <c r="F127" s="211">
        <f>+F126-E127</f>
        <v>36269526.905341178</v>
      </c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/>
      <c r="BC127" s="116"/>
      <c r="BD127" s="116"/>
      <c r="BE127" s="116"/>
      <c r="BF127" s="116"/>
      <c r="BG127" s="116"/>
      <c r="BH127" s="116"/>
      <c r="BI127" s="116"/>
      <c r="BJ127" s="116"/>
      <c r="BK127" s="116"/>
      <c r="BL127" s="116"/>
      <c r="BM127" s="116"/>
      <c r="BN127" s="116"/>
      <c r="BO127" s="116"/>
      <c r="BP127" s="116"/>
      <c r="BQ127" s="116"/>
      <c r="BR127" s="116"/>
      <c r="BS127" s="116"/>
      <c r="BT127" s="116"/>
      <c r="BU127" s="116"/>
      <c r="BV127" s="116"/>
      <c r="BW127" s="116"/>
      <c r="BX127" s="116"/>
      <c r="BY127" s="116"/>
      <c r="BZ127" s="116"/>
      <c r="CA127" s="116"/>
      <c r="CB127" s="116"/>
      <c r="CC127" s="116"/>
      <c r="CD127" s="116"/>
      <c r="CE127" s="116"/>
      <c r="CF127" s="116"/>
      <c r="CG127" s="116"/>
      <c r="CH127" s="116"/>
      <c r="CI127" s="116"/>
      <c r="CJ127" s="116"/>
      <c r="CK127" s="116"/>
      <c r="CL127" s="116"/>
      <c r="CM127" s="116"/>
      <c r="CN127" s="116"/>
      <c r="CO127" s="116"/>
      <c r="CP127" s="116"/>
      <c r="CQ127" s="116"/>
      <c r="CR127" s="116"/>
      <c r="CS127" s="116"/>
      <c r="CT127" s="116"/>
      <c r="CU127" s="116"/>
      <c r="CV127" s="116"/>
      <c r="CW127" s="116"/>
      <c r="CX127" s="116"/>
      <c r="CY127" s="116"/>
      <c r="CZ127" s="116"/>
      <c r="DA127" s="116"/>
      <c r="DB127" s="116"/>
      <c r="DC127" s="116"/>
      <c r="DD127" s="116"/>
      <c r="DE127" s="116"/>
      <c r="DF127" s="116"/>
      <c r="DG127" s="116"/>
      <c r="DH127" s="116"/>
      <c r="DI127" s="116"/>
      <c r="DJ127" s="116"/>
      <c r="DK127" s="116"/>
      <c r="DL127" s="116"/>
      <c r="DM127" s="116"/>
      <c r="DN127" s="116"/>
      <c r="DO127" s="116"/>
      <c r="DP127" s="116"/>
      <c r="DQ127" s="116"/>
      <c r="DR127" s="116"/>
      <c r="DS127" s="116"/>
      <c r="DT127" s="116"/>
      <c r="DU127" s="116"/>
      <c r="DV127" s="116"/>
      <c r="DW127" s="116"/>
      <c r="DX127" s="116"/>
      <c r="DY127" s="116"/>
      <c r="DZ127" s="116"/>
      <c r="EA127" s="116"/>
      <c r="EB127" s="116"/>
      <c r="EC127" s="116"/>
      <c r="ED127" s="116"/>
      <c r="EE127" s="116"/>
      <c r="EF127" s="116"/>
      <c r="EG127" s="116"/>
      <c r="EH127" s="116"/>
      <c r="EI127" s="116"/>
      <c r="EJ127" s="116"/>
      <c r="EK127" s="116"/>
      <c r="EL127" s="116"/>
      <c r="EM127" s="116"/>
      <c r="EN127" s="116"/>
      <c r="EO127" s="116"/>
      <c r="EP127" s="116"/>
      <c r="EQ127" s="116"/>
      <c r="ER127" s="116"/>
      <c r="ES127" s="116"/>
      <c r="ET127" s="116"/>
      <c r="EU127" s="116"/>
      <c r="EV127" s="116"/>
      <c r="EW127" s="116"/>
      <c r="EX127" s="116"/>
      <c r="EY127" s="116"/>
      <c r="EZ127" s="116"/>
      <c r="FA127" s="116"/>
      <c r="FB127" s="116"/>
      <c r="FC127" s="116"/>
      <c r="FD127" s="116"/>
      <c r="FE127" s="116"/>
      <c r="FF127" s="116"/>
      <c r="FG127" s="116"/>
      <c r="FH127" s="116"/>
      <c r="FI127" s="116"/>
      <c r="FJ127" s="116"/>
      <c r="FK127" s="116"/>
      <c r="FL127" s="116"/>
      <c r="FM127" s="116"/>
      <c r="FN127" s="116"/>
      <c r="FO127" s="116"/>
      <c r="FP127" s="116"/>
      <c r="FQ127" s="116"/>
      <c r="FR127" s="116"/>
      <c r="FS127" s="116"/>
      <c r="FT127" s="116"/>
      <c r="FU127" s="116"/>
      <c r="FV127" s="116"/>
      <c r="FW127" s="116"/>
      <c r="FX127" s="116"/>
      <c r="FY127" s="116"/>
      <c r="FZ127" s="116"/>
      <c r="GA127" s="116"/>
      <c r="GB127" s="116"/>
      <c r="GC127" s="116"/>
      <c r="GD127" s="116"/>
      <c r="GE127" s="116"/>
      <c r="GF127" s="116"/>
      <c r="GG127" s="116"/>
      <c r="GH127" s="116"/>
      <c r="GI127" s="116"/>
      <c r="GJ127" s="116"/>
      <c r="GK127" s="116"/>
      <c r="GL127" s="116"/>
      <c r="GM127" s="116"/>
      <c r="GN127" s="116"/>
      <c r="GO127" s="116"/>
      <c r="GP127" s="116"/>
      <c r="GQ127" s="116"/>
      <c r="GR127" s="116"/>
      <c r="GS127" s="116"/>
      <c r="GT127" s="116"/>
      <c r="GU127" s="116"/>
      <c r="GV127" s="116"/>
      <c r="GW127" s="116"/>
      <c r="GX127" s="116"/>
      <c r="GY127" s="116"/>
      <c r="GZ127" s="116"/>
      <c r="HA127" s="116"/>
      <c r="HB127" s="116"/>
      <c r="HC127" s="116"/>
      <c r="HD127" s="116"/>
      <c r="HE127" s="116"/>
      <c r="HF127" s="116"/>
      <c r="HG127" s="116"/>
      <c r="HH127" s="116"/>
      <c r="HI127" s="116"/>
      <c r="HJ127" s="116"/>
      <c r="HK127" s="116"/>
      <c r="HL127" s="116"/>
      <c r="HM127" s="116"/>
      <c r="HN127" s="116"/>
      <c r="HO127" s="116"/>
      <c r="HP127" s="116"/>
      <c r="HQ127" s="116"/>
      <c r="HR127" s="116"/>
      <c r="HS127" s="116"/>
      <c r="HT127" s="116"/>
      <c r="HU127" s="116"/>
      <c r="HV127" s="116"/>
      <c r="HW127" s="116"/>
      <c r="HX127" s="116"/>
      <c r="HY127" s="116"/>
      <c r="HZ127" s="116"/>
      <c r="IA127" s="116"/>
      <c r="IB127" s="116"/>
      <c r="IC127" s="116"/>
      <c r="ID127" s="116"/>
      <c r="IE127" s="116"/>
      <c r="IF127" s="116"/>
      <c r="IG127" s="116"/>
      <c r="IH127" s="116"/>
      <c r="II127" s="116"/>
      <c r="IJ127" s="116"/>
      <c r="IK127" s="116"/>
      <c r="IL127" s="116"/>
      <c r="IM127" s="116"/>
      <c r="IN127" s="116"/>
      <c r="IO127" s="116"/>
      <c r="IP127" s="116"/>
      <c r="IQ127" s="116"/>
      <c r="IR127" s="116"/>
      <c r="IS127" s="116"/>
      <c r="IT127" s="116"/>
    </row>
    <row r="128" spans="2:257" x14ac:dyDescent="0.3">
      <c r="B128" s="103">
        <v>3</v>
      </c>
      <c r="C128" s="173">
        <f t="shared" ref="C128:C130" si="30">+C127</f>
        <v>18550417.357223008</v>
      </c>
      <c r="D128" s="211">
        <f t="shared" ref="D128:D129" si="31">+F127*$C$69</f>
        <v>9027485.2467394192</v>
      </c>
      <c r="E128" s="173">
        <f t="shared" si="29"/>
        <v>9522932.1104835887</v>
      </c>
      <c r="F128" s="211">
        <f t="shared" ref="F128:F130" si="32">+F127-E128</f>
        <v>26746594.794857591</v>
      </c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16"/>
      <c r="BE128" s="116"/>
      <c r="BF128" s="116"/>
      <c r="BG128" s="116"/>
      <c r="BH128" s="116"/>
      <c r="BI128" s="116"/>
      <c r="BJ128" s="116"/>
      <c r="BK128" s="116"/>
      <c r="BL128" s="116"/>
      <c r="BM128" s="116"/>
      <c r="BN128" s="116"/>
      <c r="BO128" s="116"/>
      <c r="BP128" s="116"/>
      <c r="BQ128" s="116"/>
      <c r="BR128" s="116"/>
      <c r="BS128" s="116"/>
      <c r="BT128" s="116"/>
      <c r="BU128" s="116"/>
      <c r="BV128" s="116"/>
      <c r="BW128" s="116"/>
      <c r="BX128" s="116"/>
      <c r="BY128" s="116"/>
      <c r="BZ128" s="116"/>
      <c r="CA128" s="116"/>
      <c r="CB128" s="116"/>
      <c r="CC128" s="116"/>
      <c r="CD128" s="116"/>
      <c r="CE128" s="116"/>
      <c r="CF128" s="116"/>
      <c r="CG128" s="116"/>
      <c r="CH128" s="116"/>
      <c r="CI128" s="116"/>
      <c r="CJ128" s="116"/>
      <c r="CK128" s="116"/>
      <c r="CL128" s="116"/>
      <c r="CM128" s="116"/>
      <c r="CN128" s="116"/>
      <c r="CO128" s="116"/>
      <c r="CP128" s="116"/>
      <c r="CQ128" s="116"/>
      <c r="CR128" s="116"/>
      <c r="CS128" s="116"/>
      <c r="CT128" s="116"/>
      <c r="CU128" s="116"/>
      <c r="CV128" s="116"/>
      <c r="CW128" s="116"/>
      <c r="CX128" s="116"/>
      <c r="CY128" s="116"/>
      <c r="CZ128" s="116"/>
      <c r="DA128" s="116"/>
      <c r="DB128" s="116"/>
      <c r="DC128" s="116"/>
      <c r="DD128" s="116"/>
      <c r="DE128" s="116"/>
      <c r="DF128" s="116"/>
      <c r="DG128" s="116"/>
      <c r="DH128" s="116"/>
      <c r="DI128" s="116"/>
      <c r="DJ128" s="116"/>
      <c r="DK128" s="116"/>
      <c r="DL128" s="116"/>
      <c r="DM128" s="116"/>
      <c r="DN128" s="116"/>
      <c r="DO128" s="116"/>
      <c r="DP128" s="116"/>
      <c r="DQ128" s="116"/>
      <c r="DR128" s="116"/>
      <c r="DS128" s="116"/>
      <c r="DT128" s="116"/>
      <c r="DU128" s="116"/>
      <c r="DV128" s="116"/>
      <c r="DW128" s="116"/>
      <c r="DX128" s="116"/>
      <c r="DY128" s="116"/>
      <c r="DZ128" s="116"/>
      <c r="EA128" s="116"/>
      <c r="EB128" s="116"/>
      <c r="EC128" s="116"/>
      <c r="ED128" s="116"/>
      <c r="EE128" s="116"/>
      <c r="EF128" s="116"/>
      <c r="EG128" s="116"/>
      <c r="EH128" s="116"/>
      <c r="EI128" s="116"/>
      <c r="EJ128" s="116"/>
      <c r="EK128" s="116"/>
      <c r="EL128" s="116"/>
      <c r="EM128" s="116"/>
      <c r="EN128" s="116"/>
      <c r="EO128" s="116"/>
      <c r="EP128" s="116"/>
      <c r="EQ128" s="116"/>
      <c r="ER128" s="116"/>
      <c r="ES128" s="116"/>
      <c r="ET128" s="116"/>
      <c r="EU128" s="116"/>
      <c r="EV128" s="116"/>
      <c r="EW128" s="116"/>
      <c r="EX128" s="116"/>
      <c r="EY128" s="116"/>
      <c r="EZ128" s="116"/>
      <c r="FA128" s="116"/>
      <c r="FB128" s="116"/>
      <c r="FC128" s="116"/>
      <c r="FD128" s="116"/>
      <c r="FE128" s="116"/>
      <c r="FF128" s="116"/>
      <c r="FG128" s="116"/>
      <c r="FH128" s="116"/>
      <c r="FI128" s="116"/>
      <c r="FJ128" s="116"/>
      <c r="FK128" s="116"/>
      <c r="FL128" s="116"/>
      <c r="FM128" s="116"/>
      <c r="FN128" s="116"/>
      <c r="FO128" s="116"/>
      <c r="FP128" s="116"/>
      <c r="FQ128" s="116"/>
      <c r="FR128" s="116"/>
      <c r="FS128" s="116"/>
      <c r="FT128" s="116"/>
      <c r="FU128" s="116"/>
      <c r="FV128" s="116"/>
      <c r="FW128" s="116"/>
      <c r="FX128" s="116"/>
      <c r="FY128" s="116"/>
      <c r="FZ128" s="116"/>
      <c r="GA128" s="116"/>
      <c r="GB128" s="116"/>
      <c r="GC128" s="116"/>
      <c r="GD128" s="116"/>
      <c r="GE128" s="116"/>
      <c r="GF128" s="116"/>
      <c r="GG128" s="116"/>
      <c r="GH128" s="116"/>
      <c r="GI128" s="116"/>
      <c r="GJ128" s="116"/>
      <c r="GK128" s="116"/>
      <c r="GL128" s="116"/>
      <c r="GM128" s="116"/>
      <c r="GN128" s="116"/>
      <c r="GO128" s="116"/>
      <c r="GP128" s="116"/>
      <c r="GQ128" s="116"/>
      <c r="GR128" s="116"/>
      <c r="GS128" s="116"/>
      <c r="GT128" s="116"/>
      <c r="GU128" s="116"/>
      <c r="GV128" s="116"/>
      <c r="GW128" s="116"/>
      <c r="GX128" s="116"/>
      <c r="GY128" s="116"/>
      <c r="GZ128" s="116"/>
      <c r="HA128" s="116"/>
      <c r="HB128" s="116"/>
      <c r="HC128" s="116"/>
      <c r="HD128" s="116"/>
      <c r="HE128" s="116"/>
      <c r="HF128" s="116"/>
      <c r="HG128" s="116"/>
      <c r="HH128" s="116"/>
      <c r="HI128" s="116"/>
      <c r="HJ128" s="116"/>
      <c r="HK128" s="116"/>
      <c r="HL128" s="116"/>
      <c r="HM128" s="116"/>
      <c r="HN128" s="116"/>
      <c r="HO128" s="116"/>
      <c r="HP128" s="116"/>
      <c r="HQ128" s="116"/>
      <c r="HR128" s="116"/>
      <c r="HS128" s="116"/>
      <c r="HT128" s="116"/>
      <c r="HU128" s="116"/>
      <c r="HV128" s="116"/>
      <c r="HW128" s="116"/>
      <c r="HX128" s="116"/>
      <c r="HY128" s="116"/>
      <c r="HZ128" s="116"/>
      <c r="IA128" s="116"/>
      <c r="IB128" s="116"/>
      <c r="IC128" s="116"/>
      <c r="ID128" s="116"/>
      <c r="IE128" s="116"/>
      <c r="IF128" s="116"/>
      <c r="IG128" s="116"/>
      <c r="IH128" s="116"/>
      <c r="II128" s="116"/>
      <c r="IJ128" s="116"/>
      <c r="IK128" s="116"/>
      <c r="IL128" s="116"/>
      <c r="IM128" s="116"/>
      <c r="IN128" s="116"/>
      <c r="IO128" s="116"/>
      <c r="IP128" s="116"/>
      <c r="IQ128" s="116"/>
      <c r="IR128" s="116"/>
      <c r="IS128" s="116"/>
      <c r="IT128" s="116"/>
    </row>
    <row r="129" spans="1:257" x14ac:dyDescent="0.3">
      <c r="B129" s="103">
        <v>4</v>
      </c>
      <c r="C129" s="173">
        <f t="shared" si="30"/>
        <v>18550417.357223008</v>
      </c>
      <c r="D129" s="211">
        <f t="shared" si="31"/>
        <v>6657227.4444400547</v>
      </c>
      <c r="E129" s="173">
        <f t="shared" si="29"/>
        <v>11893189.912782952</v>
      </c>
      <c r="F129" s="211">
        <f t="shared" si="32"/>
        <v>14853404.882074639</v>
      </c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6"/>
      <c r="AZ129" s="116"/>
      <c r="BA129" s="116"/>
      <c r="BB129" s="116"/>
      <c r="BC129" s="116"/>
      <c r="BD129" s="116"/>
      <c r="BE129" s="116"/>
      <c r="BF129" s="116"/>
      <c r="BG129" s="116"/>
      <c r="BH129" s="116"/>
      <c r="BI129" s="116"/>
      <c r="BJ129" s="116"/>
      <c r="BK129" s="116"/>
      <c r="BL129" s="116"/>
      <c r="BM129" s="116"/>
      <c r="BN129" s="116"/>
      <c r="BO129" s="116"/>
      <c r="BP129" s="116"/>
      <c r="BQ129" s="116"/>
      <c r="BR129" s="116"/>
      <c r="BS129" s="116"/>
      <c r="BT129" s="116"/>
      <c r="BU129" s="116"/>
      <c r="BV129" s="116"/>
      <c r="BW129" s="116"/>
      <c r="BX129" s="116"/>
      <c r="BY129" s="116"/>
      <c r="BZ129" s="116"/>
      <c r="CA129" s="116"/>
      <c r="CB129" s="116"/>
      <c r="CC129" s="116"/>
      <c r="CD129" s="116"/>
      <c r="CE129" s="116"/>
      <c r="CF129" s="116"/>
      <c r="CG129" s="116"/>
      <c r="CH129" s="116"/>
      <c r="CI129" s="116"/>
      <c r="CJ129" s="116"/>
      <c r="CK129" s="116"/>
      <c r="CL129" s="116"/>
      <c r="CM129" s="116"/>
      <c r="CN129" s="116"/>
      <c r="CO129" s="116"/>
      <c r="CP129" s="116"/>
      <c r="CQ129" s="116"/>
      <c r="CR129" s="116"/>
      <c r="CS129" s="116"/>
      <c r="CT129" s="116"/>
      <c r="CU129" s="116"/>
      <c r="CV129" s="116"/>
      <c r="CW129" s="116"/>
      <c r="CX129" s="116"/>
      <c r="CY129" s="116"/>
      <c r="CZ129" s="116"/>
      <c r="DA129" s="116"/>
      <c r="DB129" s="116"/>
      <c r="DC129" s="116"/>
      <c r="DD129" s="116"/>
      <c r="DE129" s="116"/>
      <c r="DF129" s="116"/>
      <c r="DG129" s="116"/>
      <c r="DH129" s="116"/>
      <c r="DI129" s="116"/>
      <c r="DJ129" s="116"/>
      <c r="DK129" s="116"/>
      <c r="DL129" s="116"/>
      <c r="DM129" s="116"/>
      <c r="DN129" s="116"/>
      <c r="DO129" s="116"/>
      <c r="DP129" s="116"/>
      <c r="DQ129" s="116"/>
      <c r="DR129" s="116"/>
      <c r="DS129" s="116"/>
      <c r="DT129" s="116"/>
      <c r="DU129" s="116"/>
      <c r="DV129" s="116"/>
      <c r="DW129" s="116"/>
      <c r="DX129" s="116"/>
      <c r="DY129" s="116"/>
      <c r="DZ129" s="116"/>
      <c r="EA129" s="116"/>
      <c r="EB129" s="116"/>
      <c r="EC129" s="116"/>
      <c r="ED129" s="116"/>
      <c r="EE129" s="116"/>
      <c r="EF129" s="116"/>
      <c r="EG129" s="116"/>
      <c r="EH129" s="116"/>
      <c r="EI129" s="116"/>
      <c r="EJ129" s="116"/>
      <c r="EK129" s="116"/>
      <c r="EL129" s="116"/>
      <c r="EM129" s="116"/>
      <c r="EN129" s="116"/>
      <c r="EO129" s="116"/>
      <c r="EP129" s="116"/>
      <c r="EQ129" s="116"/>
      <c r="ER129" s="116"/>
      <c r="ES129" s="116"/>
      <c r="ET129" s="116"/>
      <c r="EU129" s="116"/>
      <c r="EV129" s="116"/>
      <c r="EW129" s="116"/>
      <c r="EX129" s="116"/>
      <c r="EY129" s="116"/>
      <c r="EZ129" s="116"/>
      <c r="FA129" s="116"/>
      <c r="FB129" s="116"/>
      <c r="FC129" s="116"/>
      <c r="FD129" s="116"/>
      <c r="FE129" s="116"/>
      <c r="FF129" s="116"/>
      <c r="FG129" s="116"/>
      <c r="FH129" s="116"/>
      <c r="FI129" s="116"/>
      <c r="FJ129" s="116"/>
      <c r="FK129" s="116"/>
      <c r="FL129" s="116"/>
      <c r="FM129" s="116"/>
      <c r="FN129" s="116"/>
      <c r="FO129" s="116"/>
      <c r="FP129" s="116"/>
      <c r="FQ129" s="116"/>
      <c r="FR129" s="116"/>
      <c r="FS129" s="116"/>
      <c r="FT129" s="116"/>
      <c r="FU129" s="116"/>
      <c r="FV129" s="116"/>
      <c r="FW129" s="116"/>
      <c r="FX129" s="116"/>
      <c r="FY129" s="116"/>
      <c r="FZ129" s="116"/>
      <c r="GA129" s="116"/>
      <c r="GB129" s="116"/>
      <c r="GC129" s="116"/>
      <c r="GD129" s="116"/>
      <c r="GE129" s="116"/>
      <c r="GF129" s="116"/>
      <c r="GG129" s="116"/>
      <c r="GH129" s="116"/>
      <c r="GI129" s="116"/>
      <c r="GJ129" s="116"/>
      <c r="GK129" s="116"/>
      <c r="GL129" s="116"/>
      <c r="GM129" s="116"/>
      <c r="GN129" s="116"/>
      <c r="GO129" s="116"/>
      <c r="GP129" s="116"/>
      <c r="GQ129" s="116"/>
      <c r="GR129" s="116"/>
      <c r="GS129" s="116"/>
      <c r="GT129" s="116"/>
      <c r="GU129" s="116"/>
      <c r="GV129" s="116"/>
      <c r="GW129" s="116"/>
      <c r="GX129" s="116"/>
      <c r="GY129" s="116"/>
      <c r="GZ129" s="116"/>
      <c r="HA129" s="116"/>
      <c r="HB129" s="116"/>
      <c r="HC129" s="116"/>
      <c r="HD129" s="116"/>
      <c r="HE129" s="116"/>
      <c r="HF129" s="116"/>
      <c r="HG129" s="116"/>
      <c r="HH129" s="116"/>
      <c r="HI129" s="116"/>
      <c r="HJ129" s="116"/>
      <c r="HK129" s="116"/>
      <c r="HL129" s="116"/>
      <c r="HM129" s="116"/>
      <c r="HN129" s="116"/>
      <c r="HO129" s="116"/>
      <c r="HP129" s="116"/>
      <c r="HQ129" s="116"/>
      <c r="HR129" s="116"/>
      <c r="HS129" s="116"/>
      <c r="HT129" s="116"/>
      <c r="HU129" s="116"/>
      <c r="HV129" s="116"/>
      <c r="HW129" s="116"/>
      <c r="HX129" s="116"/>
      <c r="HY129" s="116"/>
      <c r="HZ129" s="116"/>
      <c r="IA129" s="116"/>
      <c r="IB129" s="116"/>
      <c r="IC129" s="116"/>
      <c r="ID129" s="116"/>
      <c r="IE129" s="116"/>
      <c r="IF129" s="116"/>
      <c r="IG129" s="116"/>
      <c r="IH129" s="116"/>
      <c r="II129" s="116"/>
      <c r="IJ129" s="116"/>
      <c r="IK129" s="116"/>
      <c r="IL129" s="116"/>
      <c r="IM129" s="116"/>
      <c r="IN129" s="116"/>
      <c r="IO129" s="116"/>
      <c r="IP129" s="116"/>
      <c r="IQ129" s="116"/>
      <c r="IR129" s="116"/>
      <c r="IS129" s="116"/>
      <c r="IT129" s="116"/>
    </row>
    <row r="130" spans="1:257" x14ac:dyDescent="0.3">
      <c r="B130" s="137">
        <v>5</v>
      </c>
      <c r="C130" s="173">
        <f t="shared" si="30"/>
        <v>18550417.357223008</v>
      </c>
      <c r="D130" s="211">
        <f>+F129*$C$69</f>
        <v>3697012.4751483779</v>
      </c>
      <c r="E130" s="173">
        <f t="shared" si="29"/>
        <v>14853404.88207463</v>
      </c>
      <c r="F130" s="211">
        <f t="shared" si="32"/>
        <v>0</v>
      </c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  <c r="AV130" s="116"/>
      <c r="AW130" s="116"/>
      <c r="AX130" s="116"/>
      <c r="AY130" s="116"/>
      <c r="AZ130" s="116"/>
      <c r="BA130" s="116"/>
      <c r="BB130" s="116"/>
      <c r="BC130" s="116"/>
      <c r="BD130" s="116"/>
      <c r="BE130" s="116"/>
      <c r="BF130" s="116"/>
      <c r="BG130" s="116"/>
      <c r="BH130" s="116"/>
      <c r="BI130" s="116"/>
      <c r="BJ130" s="116"/>
      <c r="BK130" s="116"/>
      <c r="BL130" s="116"/>
      <c r="BM130" s="116"/>
      <c r="BN130" s="116"/>
      <c r="BO130" s="116"/>
      <c r="BP130" s="116"/>
      <c r="BQ130" s="116"/>
      <c r="BR130" s="116"/>
      <c r="BS130" s="116"/>
      <c r="BT130" s="116"/>
      <c r="BU130" s="116"/>
      <c r="BV130" s="116"/>
      <c r="BW130" s="116"/>
      <c r="BX130" s="116"/>
      <c r="BY130" s="116"/>
      <c r="BZ130" s="116"/>
      <c r="CA130" s="116"/>
      <c r="CB130" s="116"/>
      <c r="CC130" s="116"/>
      <c r="CD130" s="116"/>
      <c r="CE130" s="116"/>
      <c r="CF130" s="116"/>
      <c r="CG130" s="116"/>
      <c r="CH130" s="116"/>
      <c r="CI130" s="116"/>
      <c r="CJ130" s="116"/>
      <c r="CK130" s="116"/>
      <c r="CL130" s="116"/>
      <c r="CM130" s="116"/>
      <c r="CN130" s="116"/>
      <c r="CO130" s="116"/>
      <c r="CP130" s="116"/>
      <c r="CQ130" s="116"/>
      <c r="CR130" s="116"/>
      <c r="CS130" s="116"/>
      <c r="CT130" s="116"/>
      <c r="CU130" s="116"/>
      <c r="CV130" s="116"/>
      <c r="CW130" s="116"/>
      <c r="CX130" s="116"/>
      <c r="CY130" s="116"/>
      <c r="CZ130" s="116"/>
      <c r="DA130" s="116"/>
      <c r="DB130" s="116"/>
      <c r="DC130" s="116"/>
      <c r="DD130" s="116"/>
      <c r="DE130" s="116"/>
      <c r="DF130" s="116"/>
      <c r="DG130" s="116"/>
      <c r="DH130" s="116"/>
      <c r="DI130" s="116"/>
      <c r="DJ130" s="116"/>
      <c r="DK130" s="116"/>
      <c r="DL130" s="116"/>
      <c r="DM130" s="116"/>
      <c r="DN130" s="116"/>
      <c r="DO130" s="116"/>
      <c r="DP130" s="116"/>
      <c r="DQ130" s="116"/>
      <c r="DR130" s="116"/>
      <c r="DS130" s="116"/>
      <c r="DT130" s="116"/>
      <c r="DU130" s="116"/>
      <c r="DV130" s="116"/>
      <c r="DW130" s="116"/>
      <c r="DX130" s="116"/>
      <c r="DY130" s="116"/>
      <c r="DZ130" s="116"/>
      <c r="EA130" s="116"/>
      <c r="EB130" s="116"/>
      <c r="EC130" s="116"/>
      <c r="ED130" s="116"/>
      <c r="EE130" s="116"/>
      <c r="EF130" s="116"/>
      <c r="EG130" s="116"/>
      <c r="EH130" s="116"/>
      <c r="EI130" s="116"/>
      <c r="EJ130" s="116"/>
      <c r="EK130" s="116"/>
      <c r="EL130" s="116"/>
      <c r="EM130" s="116"/>
      <c r="EN130" s="116"/>
      <c r="EO130" s="116"/>
      <c r="EP130" s="116"/>
      <c r="EQ130" s="116"/>
      <c r="ER130" s="116"/>
      <c r="ES130" s="116"/>
      <c r="ET130" s="116"/>
      <c r="EU130" s="116"/>
      <c r="EV130" s="116"/>
      <c r="EW130" s="116"/>
      <c r="EX130" s="116"/>
      <c r="EY130" s="116"/>
      <c r="EZ130" s="116"/>
      <c r="FA130" s="116"/>
      <c r="FB130" s="116"/>
      <c r="FC130" s="116"/>
      <c r="FD130" s="116"/>
      <c r="FE130" s="116"/>
      <c r="FF130" s="116"/>
      <c r="FG130" s="116"/>
      <c r="FH130" s="116"/>
      <c r="FI130" s="116"/>
      <c r="FJ130" s="116"/>
      <c r="FK130" s="116"/>
      <c r="FL130" s="116"/>
      <c r="FM130" s="116"/>
      <c r="FN130" s="116"/>
      <c r="FO130" s="116"/>
      <c r="FP130" s="116"/>
      <c r="FQ130" s="116"/>
      <c r="FR130" s="116"/>
      <c r="FS130" s="116"/>
      <c r="FT130" s="116"/>
      <c r="FU130" s="116"/>
      <c r="FV130" s="116"/>
      <c r="FW130" s="116"/>
      <c r="FX130" s="116"/>
      <c r="FY130" s="116"/>
      <c r="FZ130" s="116"/>
      <c r="GA130" s="116"/>
      <c r="GB130" s="116"/>
      <c r="GC130" s="116"/>
      <c r="GD130" s="116"/>
      <c r="GE130" s="116"/>
      <c r="GF130" s="116"/>
      <c r="GG130" s="116"/>
      <c r="GH130" s="116"/>
      <c r="GI130" s="116"/>
      <c r="GJ130" s="116"/>
      <c r="GK130" s="116"/>
      <c r="GL130" s="116"/>
      <c r="GM130" s="116"/>
      <c r="GN130" s="116"/>
      <c r="GO130" s="116"/>
      <c r="GP130" s="116"/>
      <c r="GQ130" s="116"/>
      <c r="GR130" s="116"/>
      <c r="GS130" s="116"/>
      <c r="GT130" s="116"/>
      <c r="GU130" s="116"/>
      <c r="GV130" s="116"/>
      <c r="GW130" s="116"/>
      <c r="GX130" s="116"/>
      <c r="GY130" s="116"/>
      <c r="GZ130" s="116"/>
      <c r="HA130" s="116"/>
      <c r="HB130" s="116"/>
      <c r="HC130" s="116"/>
      <c r="HD130" s="116"/>
      <c r="HE130" s="116"/>
      <c r="HF130" s="116"/>
      <c r="HG130" s="116"/>
      <c r="HH130" s="116"/>
      <c r="HI130" s="116"/>
      <c r="HJ130" s="116"/>
      <c r="HK130" s="116"/>
      <c r="HL130" s="116"/>
      <c r="HM130" s="116"/>
      <c r="HN130" s="116"/>
      <c r="HO130" s="116"/>
      <c r="HP130" s="116"/>
      <c r="HQ130" s="116"/>
      <c r="HR130" s="116"/>
      <c r="HS130" s="116"/>
      <c r="HT130" s="116"/>
      <c r="HU130" s="116"/>
      <c r="HV130" s="116"/>
      <c r="HW130" s="116"/>
      <c r="HX130" s="116"/>
      <c r="HY130" s="116"/>
      <c r="HZ130" s="116"/>
      <c r="IA130" s="116"/>
      <c r="IB130" s="116"/>
      <c r="IC130" s="116"/>
      <c r="ID130" s="116"/>
      <c r="IE130" s="116"/>
      <c r="IF130" s="116"/>
      <c r="IG130" s="116"/>
      <c r="IH130" s="116"/>
      <c r="II130" s="116"/>
      <c r="IJ130" s="116"/>
      <c r="IK130" s="116"/>
      <c r="IL130" s="116"/>
      <c r="IM130" s="116"/>
      <c r="IN130" s="116"/>
      <c r="IO130" s="116"/>
      <c r="IP130" s="116"/>
      <c r="IQ130" s="116"/>
      <c r="IR130" s="116"/>
      <c r="IS130" s="116"/>
      <c r="IT130" s="116"/>
    </row>
    <row r="131" spans="1:257" x14ac:dyDescent="0.3">
      <c r="B131" s="135"/>
      <c r="C131" s="135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  <c r="AU131" s="116"/>
      <c r="AV131" s="116"/>
      <c r="AW131" s="116"/>
      <c r="AX131" s="116"/>
      <c r="AY131" s="116"/>
      <c r="AZ131" s="116"/>
      <c r="BA131" s="116"/>
      <c r="BB131" s="116"/>
      <c r="BC131" s="116"/>
      <c r="BD131" s="116"/>
      <c r="BE131" s="116"/>
      <c r="BF131" s="116"/>
      <c r="BG131" s="116"/>
      <c r="BH131" s="116"/>
      <c r="BI131" s="116"/>
      <c r="BJ131" s="116"/>
      <c r="BK131" s="116"/>
      <c r="BL131" s="116"/>
      <c r="BM131" s="116"/>
      <c r="BN131" s="116"/>
      <c r="BO131" s="116"/>
      <c r="BP131" s="116"/>
      <c r="BQ131" s="116"/>
      <c r="BR131" s="116"/>
      <c r="BS131" s="116"/>
      <c r="BT131" s="116"/>
      <c r="BU131" s="116"/>
      <c r="BV131" s="116"/>
      <c r="BW131" s="116"/>
      <c r="BX131" s="116"/>
      <c r="BY131" s="116"/>
      <c r="BZ131" s="116"/>
      <c r="CA131" s="116"/>
      <c r="CB131" s="116"/>
      <c r="CC131" s="116"/>
      <c r="CD131" s="116"/>
      <c r="CE131" s="116"/>
      <c r="CF131" s="116"/>
      <c r="CG131" s="116"/>
      <c r="CH131" s="116"/>
      <c r="CI131" s="116"/>
      <c r="CJ131" s="116"/>
      <c r="CK131" s="116"/>
      <c r="CL131" s="116"/>
      <c r="CM131" s="116"/>
      <c r="CN131" s="116"/>
      <c r="CO131" s="116"/>
      <c r="CP131" s="116"/>
      <c r="CQ131" s="116"/>
      <c r="CR131" s="116"/>
      <c r="CS131" s="116"/>
      <c r="CT131" s="116"/>
      <c r="CU131" s="116"/>
      <c r="CV131" s="116"/>
      <c r="CW131" s="116"/>
      <c r="CX131" s="116"/>
      <c r="CY131" s="116"/>
      <c r="CZ131" s="116"/>
      <c r="DA131" s="116"/>
      <c r="DB131" s="116"/>
      <c r="DC131" s="116"/>
      <c r="DD131" s="116"/>
      <c r="DE131" s="116"/>
      <c r="DF131" s="116"/>
      <c r="DG131" s="116"/>
      <c r="DH131" s="116"/>
      <c r="DI131" s="116"/>
      <c r="DJ131" s="116"/>
      <c r="DK131" s="116"/>
      <c r="DL131" s="116"/>
      <c r="DM131" s="116"/>
      <c r="DN131" s="116"/>
      <c r="DO131" s="116"/>
      <c r="DP131" s="116"/>
      <c r="DQ131" s="116"/>
      <c r="DR131" s="116"/>
      <c r="DS131" s="116"/>
      <c r="DT131" s="116"/>
      <c r="DU131" s="116"/>
      <c r="DV131" s="116"/>
      <c r="DW131" s="116"/>
      <c r="DX131" s="116"/>
      <c r="DY131" s="116"/>
      <c r="DZ131" s="116"/>
      <c r="EA131" s="116"/>
      <c r="EB131" s="116"/>
      <c r="EC131" s="116"/>
      <c r="ED131" s="116"/>
      <c r="EE131" s="116"/>
      <c r="EF131" s="116"/>
      <c r="EG131" s="116"/>
      <c r="EH131" s="116"/>
      <c r="EI131" s="116"/>
      <c r="EJ131" s="116"/>
      <c r="EK131" s="116"/>
      <c r="EL131" s="116"/>
      <c r="EM131" s="116"/>
      <c r="EN131" s="116"/>
      <c r="EO131" s="116"/>
      <c r="EP131" s="116"/>
      <c r="EQ131" s="116"/>
      <c r="ER131" s="116"/>
      <c r="ES131" s="116"/>
      <c r="ET131" s="116"/>
      <c r="EU131" s="116"/>
      <c r="EV131" s="116"/>
      <c r="EW131" s="116"/>
      <c r="EX131" s="116"/>
      <c r="EY131" s="116"/>
      <c r="EZ131" s="116"/>
      <c r="FA131" s="116"/>
      <c r="FB131" s="116"/>
      <c r="FC131" s="116"/>
      <c r="FD131" s="116"/>
      <c r="FE131" s="116"/>
      <c r="FF131" s="116"/>
      <c r="FG131" s="116"/>
      <c r="FH131" s="116"/>
      <c r="FI131" s="116"/>
      <c r="FJ131" s="116"/>
      <c r="FK131" s="116"/>
      <c r="FL131" s="116"/>
      <c r="FM131" s="116"/>
      <c r="FN131" s="116"/>
      <c r="FO131" s="116"/>
      <c r="FP131" s="116"/>
      <c r="FQ131" s="116"/>
      <c r="FR131" s="116"/>
      <c r="FS131" s="116"/>
      <c r="FT131" s="116"/>
      <c r="FU131" s="116"/>
      <c r="FV131" s="116"/>
      <c r="FW131" s="116"/>
      <c r="FX131" s="116"/>
      <c r="FY131" s="116"/>
      <c r="FZ131" s="116"/>
      <c r="GA131" s="116"/>
      <c r="GB131" s="116"/>
      <c r="GC131" s="116"/>
      <c r="GD131" s="116"/>
      <c r="GE131" s="116"/>
      <c r="GF131" s="116"/>
      <c r="GG131" s="116"/>
      <c r="GH131" s="116"/>
      <c r="GI131" s="116"/>
      <c r="GJ131" s="116"/>
      <c r="GK131" s="116"/>
      <c r="GL131" s="116"/>
      <c r="GM131" s="116"/>
      <c r="GN131" s="116"/>
      <c r="GO131" s="116"/>
      <c r="GP131" s="116"/>
      <c r="GQ131" s="116"/>
      <c r="GR131" s="116"/>
      <c r="GS131" s="116"/>
      <c r="GT131" s="116"/>
      <c r="GU131" s="116"/>
      <c r="GV131" s="116"/>
      <c r="GW131" s="116"/>
      <c r="GX131" s="116"/>
      <c r="GY131" s="116"/>
      <c r="GZ131" s="116"/>
      <c r="HA131" s="116"/>
      <c r="HB131" s="116"/>
      <c r="HC131" s="116"/>
      <c r="HD131" s="116"/>
      <c r="HE131" s="116"/>
      <c r="HF131" s="116"/>
      <c r="HG131" s="116"/>
      <c r="HH131" s="116"/>
      <c r="HI131" s="116"/>
      <c r="HJ131" s="116"/>
      <c r="HK131" s="116"/>
      <c r="HL131" s="116"/>
      <c r="HM131" s="116"/>
      <c r="HN131" s="116"/>
      <c r="HO131" s="116"/>
      <c r="HP131" s="116"/>
      <c r="HQ131" s="116"/>
      <c r="HR131" s="116"/>
      <c r="HS131" s="116"/>
      <c r="HT131" s="116"/>
      <c r="HU131" s="116"/>
      <c r="HV131" s="116"/>
      <c r="HW131" s="116"/>
      <c r="HX131" s="116"/>
      <c r="HY131" s="116"/>
      <c r="HZ131" s="116"/>
      <c r="IA131" s="116"/>
      <c r="IB131" s="116"/>
      <c r="IC131" s="116"/>
      <c r="ID131" s="116"/>
      <c r="IE131" s="116"/>
      <c r="IF131" s="116"/>
      <c r="IG131" s="116"/>
      <c r="IH131" s="116"/>
      <c r="II131" s="116"/>
      <c r="IJ131" s="116"/>
      <c r="IK131" s="116"/>
      <c r="IL131" s="116"/>
      <c r="IM131" s="116"/>
      <c r="IN131" s="116"/>
      <c r="IO131" s="116"/>
      <c r="IP131" s="116"/>
      <c r="IQ131" s="116"/>
      <c r="IR131" s="116"/>
      <c r="IS131" s="116"/>
      <c r="IT131" s="116"/>
    </row>
    <row r="132" spans="1:257" x14ac:dyDescent="0.3">
      <c r="B132" s="373" t="s">
        <v>237</v>
      </c>
      <c r="C132" s="373"/>
      <c r="D132" s="373"/>
      <c r="E132" s="373"/>
      <c r="F132" s="373"/>
      <c r="G132" s="373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6"/>
      <c r="AU132" s="116"/>
      <c r="AV132" s="116"/>
      <c r="AW132" s="116"/>
      <c r="AX132" s="116"/>
      <c r="AY132" s="116"/>
      <c r="AZ132" s="116"/>
      <c r="BA132" s="116"/>
      <c r="BB132" s="116"/>
      <c r="BC132" s="116"/>
      <c r="BD132" s="116"/>
      <c r="BE132" s="116"/>
      <c r="BF132" s="116"/>
      <c r="BG132" s="116"/>
      <c r="BH132" s="116"/>
      <c r="BI132" s="116"/>
      <c r="BJ132" s="116"/>
      <c r="BK132" s="116"/>
      <c r="BL132" s="116"/>
      <c r="BM132" s="116"/>
      <c r="BN132" s="116"/>
      <c r="BO132" s="116"/>
      <c r="BP132" s="116"/>
      <c r="BQ132" s="116"/>
      <c r="BR132" s="116"/>
      <c r="BS132" s="116"/>
      <c r="BT132" s="116"/>
      <c r="BU132" s="116"/>
      <c r="BV132" s="116"/>
      <c r="BW132" s="116"/>
      <c r="BX132" s="116"/>
      <c r="BY132" s="116"/>
      <c r="BZ132" s="116"/>
      <c r="CA132" s="116"/>
      <c r="CB132" s="116"/>
      <c r="CC132" s="116"/>
      <c r="CD132" s="116"/>
      <c r="CE132" s="116"/>
      <c r="CF132" s="116"/>
      <c r="CG132" s="116"/>
      <c r="CH132" s="116"/>
      <c r="CI132" s="116"/>
      <c r="CJ132" s="116"/>
      <c r="CK132" s="116"/>
      <c r="CL132" s="116"/>
      <c r="CM132" s="116"/>
      <c r="CN132" s="116"/>
      <c r="CO132" s="116"/>
      <c r="CP132" s="116"/>
      <c r="CQ132" s="116"/>
      <c r="CR132" s="116"/>
      <c r="CS132" s="116"/>
      <c r="CT132" s="116"/>
      <c r="CU132" s="116"/>
      <c r="CV132" s="116"/>
      <c r="CW132" s="116"/>
      <c r="CX132" s="116"/>
      <c r="CY132" s="116"/>
      <c r="CZ132" s="116"/>
      <c r="DA132" s="116"/>
      <c r="DB132" s="116"/>
      <c r="DC132" s="116"/>
      <c r="DD132" s="116"/>
      <c r="DE132" s="116"/>
      <c r="DF132" s="116"/>
      <c r="DG132" s="116"/>
      <c r="DH132" s="116"/>
      <c r="DI132" s="116"/>
      <c r="DJ132" s="116"/>
      <c r="DK132" s="116"/>
      <c r="DL132" s="116"/>
      <c r="DM132" s="116"/>
      <c r="DN132" s="116"/>
      <c r="DO132" s="116"/>
      <c r="DP132" s="116"/>
      <c r="DQ132" s="116"/>
      <c r="DR132" s="116"/>
      <c r="DS132" s="116"/>
      <c r="DT132" s="116"/>
      <c r="DU132" s="116"/>
      <c r="DV132" s="116"/>
      <c r="DW132" s="116"/>
      <c r="DX132" s="116"/>
      <c r="DY132" s="116"/>
      <c r="DZ132" s="116"/>
      <c r="EA132" s="116"/>
      <c r="EB132" s="116"/>
      <c r="EC132" s="116"/>
      <c r="ED132" s="116"/>
      <c r="EE132" s="116"/>
      <c r="EF132" s="116"/>
      <c r="EG132" s="116"/>
      <c r="EH132" s="116"/>
      <c r="EI132" s="116"/>
      <c r="EJ132" s="116"/>
      <c r="EK132" s="116"/>
      <c r="EL132" s="116"/>
      <c r="EM132" s="116"/>
      <c r="EN132" s="116"/>
      <c r="EO132" s="116"/>
      <c r="EP132" s="116"/>
      <c r="EQ132" s="116"/>
      <c r="ER132" s="116"/>
      <c r="ES132" s="116"/>
      <c r="ET132" s="116"/>
      <c r="EU132" s="116"/>
      <c r="EV132" s="116"/>
      <c r="EW132" s="116"/>
      <c r="EX132" s="116"/>
      <c r="EY132" s="116"/>
      <c r="EZ132" s="116"/>
      <c r="FA132" s="116"/>
      <c r="FB132" s="116"/>
      <c r="FC132" s="116"/>
      <c r="FD132" s="116"/>
      <c r="FE132" s="116"/>
      <c r="FF132" s="116"/>
      <c r="FG132" s="116"/>
      <c r="FH132" s="116"/>
      <c r="FI132" s="116"/>
      <c r="FJ132" s="116"/>
      <c r="FK132" s="116"/>
      <c r="FL132" s="116"/>
      <c r="FM132" s="116"/>
      <c r="FN132" s="116"/>
      <c r="FO132" s="116"/>
      <c r="FP132" s="116"/>
      <c r="FQ132" s="116"/>
      <c r="FR132" s="116"/>
      <c r="FS132" s="116"/>
      <c r="FT132" s="116"/>
      <c r="FU132" s="116"/>
      <c r="FV132" s="116"/>
      <c r="FW132" s="116"/>
      <c r="FX132" s="116"/>
      <c r="FY132" s="116"/>
      <c r="FZ132" s="116"/>
      <c r="GA132" s="116"/>
      <c r="GB132" s="116"/>
      <c r="GC132" s="116"/>
      <c r="GD132" s="116"/>
      <c r="GE132" s="116"/>
      <c r="GF132" s="116"/>
      <c r="GG132" s="116"/>
      <c r="GH132" s="116"/>
      <c r="GI132" s="116"/>
      <c r="GJ132" s="116"/>
      <c r="GK132" s="116"/>
      <c r="GL132" s="116"/>
      <c r="GM132" s="116"/>
      <c r="GN132" s="116"/>
      <c r="GO132" s="116"/>
      <c r="GP132" s="116"/>
      <c r="GQ132" s="116"/>
      <c r="GR132" s="116"/>
      <c r="GS132" s="116"/>
      <c r="GT132" s="116"/>
      <c r="GU132" s="116"/>
      <c r="GV132" s="116"/>
      <c r="GW132" s="116"/>
      <c r="GX132" s="116"/>
      <c r="GY132" s="116"/>
      <c r="GZ132" s="116"/>
      <c r="HA132" s="116"/>
      <c r="HB132" s="116"/>
      <c r="HC132" s="116"/>
      <c r="HD132" s="116"/>
      <c r="HE132" s="116"/>
      <c r="HF132" s="116"/>
      <c r="HG132" s="116"/>
      <c r="HH132" s="116"/>
      <c r="HI132" s="116"/>
      <c r="HJ132" s="116"/>
      <c r="HK132" s="116"/>
      <c r="HL132" s="116"/>
      <c r="HM132" s="116"/>
      <c r="HN132" s="116"/>
      <c r="HO132" s="116"/>
      <c r="HP132" s="116"/>
      <c r="HQ132" s="116"/>
      <c r="HR132" s="116"/>
      <c r="HS132" s="116"/>
      <c r="HT132" s="116"/>
      <c r="HU132" s="116"/>
      <c r="HV132" s="116"/>
      <c r="HW132" s="116"/>
      <c r="HX132" s="116"/>
      <c r="HY132" s="116"/>
      <c r="HZ132" s="116"/>
      <c r="IA132" s="116"/>
      <c r="IB132" s="116"/>
      <c r="IC132" s="116"/>
      <c r="ID132" s="116"/>
      <c r="IE132" s="116"/>
      <c r="IF132" s="116"/>
      <c r="IG132" s="116"/>
      <c r="IH132" s="116"/>
      <c r="II132" s="116"/>
      <c r="IJ132" s="116"/>
      <c r="IK132" s="116"/>
      <c r="IL132" s="116"/>
      <c r="IM132" s="116"/>
      <c r="IN132" s="116"/>
      <c r="IO132" s="116"/>
      <c r="IP132" s="116"/>
      <c r="IQ132" s="116"/>
      <c r="IR132" s="116"/>
      <c r="IS132" s="116"/>
      <c r="IT132" s="116"/>
      <c r="IU132" s="116"/>
      <c r="IV132" s="116"/>
      <c r="IW132" s="116"/>
    </row>
    <row r="133" spans="1:257" x14ac:dyDescent="0.3">
      <c r="B133" s="373" t="s">
        <v>199</v>
      </c>
      <c r="C133" s="373"/>
      <c r="D133" s="373"/>
      <c r="E133" s="373"/>
      <c r="F133" s="373"/>
      <c r="G133" s="373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  <c r="BC133" s="116"/>
      <c r="BD133" s="116"/>
      <c r="BE133" s="116"/>
      <c r="BF133" s="116"/>
      <c r="BG133" s="116"/>
      <c r="BH133" s="116"/>
      <c r="BI133" s="116"/>
      <c r="BJ133" s="116"/>
      <c r="BK133" s="116"/>
      <c r="BL133" s="116"/>
      <c r="BM133" s="116"/>
      <c r="BN133" s="116"/>
      <c r="BO133" s="116"/>
      <c r="BP133" s="116"/>
      <c r="BQ133" s="116"/>
      <c r="BR133" s="116"/>
      <c r="BS133" s="116"/>
      <c r="BT133" s="116"/>
      <c r="BU133" s="116"/>
      <c r="BV133" s="116"/>
      <c r="BW133" s="116"/>
      <c r="BX133" s="116"/>
      <c r="BY133" s="116"/>
      <c r="BZ133" s="116"/>
      <c r="CA133" s="116"/>
      <c r="CB133" s="116"/>
      <c r="CC133" s="116"/>
      <c r="CD133" s="116"/>
      <c r="CE133" s="116"/>
      <c r="CF133" s="116"/>
      <c r="CG133" s="116"/>
      <c r="CH133" s="116"/>
      <c r="CI133" s="116"/>
      <c r="CJ133" s="116"/>
      <c r="CK133" s="116"/>
      <c r="CL133" s="116"/>
      <c r="CM133" s="116"/>
      <c r="CN133" s="116"/>
      <c r="CO133" s="116"/>
      <c r="CP133" s="116"/>
      <c r="CQ133" s="116"/>
      <c r="CR133" s="116"/>
      <c r="CS133" s="116"/>
      <c r="CT133" s="116"/>
      <c r="CU133" s="116"/>
      <c r="CV133" s="116"/>
      <c r="CW133" s="116"/>
      <c r="CX133" s="116"/>
      <c r="CY133" s="116"/>
      <c r="CZ133" s="116"/>
      <c r="DA133" s="116"/>
      <c r="DB133" s="116"/>
      <c r="DC133" s="116"/>
      <c r="DD133" s="116"/>
      <c r="DE133" s="116"/>
      <c r="DF133" s="116"/>
      <c r="DG133" s="116"/>
      <c r="DH133" s="116"/>
      <c r="DI133" s="116"/>
      <c r="DJ133" s="116"/>
      <c r="DK133" s="116"/>
      <c r="DL133" s="116"/>
      <c r="DM133" s="116"/>
      <c r="DN133" s="116"/>
      <c r="DO133" s="116"/>
      <c r="DP133" s="116"/>
      <c r="DQ133" s="116"/>
      <c r="DR133" s="116"/>
      <c r="DS133" s="116"/>
      <c r="DT133" s="116"/>
      <c r="DU133" s="116"/>
      <c r="DV133" s="116"/>
      <c r="DW133" s="116"/>
      <c r="DX133" s="116"/>
      <c r="DY133" s="116"/>
      <c r="DZ133" s="116"/>
      <c r="EA133" s="116"/>
      <c r="EB133" s="116"/>
      <c r="EC133" s="116"/>
      <c r="ED133" s="116"/>
      <c r="EE133" s="116"/>
      <c r="EF133" s="116"/>
      <c r="EG133" s="116"/>
      <c r="EH133" s="116"/>
      <c r="EI133" s="116"/>
      <c r="EJ133" s="116"/>
      <c r="EK133" s="116"/>
      <c r="EL133" s="116"/>
      <c r="EM133" s="116"/>
      <c r="EN133" s="116"/>
      <c r="EO133" s="116"/>
      <c r="EP133" s="116"/>
      <c r="EQ133" s="116"/>
      <c r="ER133" s="116"/>
      <c r="ES133" s="116"/>
      <c r="ET133" s="116"/>
      <c r="EU133" s="116"/>
      <c r="EV133" s="116"/>
      <c r="EW133" s="116"/>
      <c r="EX133" s="116"/>
      <c r="EY133" s="116"/>
      <c r="EZ133" s="116"/>
      <c r="FA133" s="116"/>
      <c r="FB133" s="116"/>
      <c r="FC133" s="116"/>
      <c r="FD133" s="116"/>
      <c r="FE133" s="116"/>
      <c r="FF133" s="116"/>
      <c r="FG133" s="116"/>
      <c r="FH133" s="116"/>
      <c r="FI133" s="116"/>
      <c r="FJ133" s="116"/>
      <c r="FK133" s="116"/>
      <c r="FL133" s="116"/>
      <c r="FM133" s="116"/>
      <c r="FN133" s="116"/>
      <c r="FO133" s="116"/>
      <c r="FP133" s="116"/>
      <c r="FQ133" s="116"/>
      <c r="FR133" s="116"/>
      <c r="FS133" s="116"/>
      <c r="FT133" s="116"/>
      <c r="FU133" s="116"/>
      <c r="FV133" s="116"/>
      <c r="FW133" s="116"/>
      <c r="FX133" s="116"/>
      <c r="FY133" s="116"/>
      <c r="FZ133" s="116"/>
      <c r="GA133" s="116"/>
      <c r="GB133" s="116"/>
      <c r="GC133" s="116"/>
      <c r="GD133" s="116"/>
      <c r="GE133" s="116"/>
      <c r="GF133" s="116"/>
      <c r="GG133" s="116"/>
      <c r="GH133" s="116"/>
      <c r="GI133" s="116"/>
      <c r="GJ133" s="116"/>
      <c r="GK133" s="116"/>
      <c r="GL133" s="116"/>
      <c r="GM133" s="116"/>
      <c r="GN133" s="116"/>
      <c r="GO133" s="116"/>
      <c r="GP133" s="116"/>
      <c r="GQ133" s="116"/>
      <c r="GR133" s="116"/>
      <c r="GS133" s="116"/>
      <c r="GT133" s="116"/>
      <c r="GU133" s="116"/>
      <c r="GV133" s="116"/>
      <c r="GW133" s="116"/>
      <c r="GX133" s="116"/>
      <c r="GY133" s="116"/>
      <c r="GZ133" s="116"/>
      <c r="HA133" s="116"/>
      <c r="HB133" s="116"/>
      <c r="HC133" s="116"/>
      <c r="HD133" s="116"/>
      <c r="HE133" s="116"/>
      <c r="HF133" s="116"/>
      <c r="HG133" s="116"/>
      <c r="HH133" s="116"/>
      <c r="HI133" s="116"/>
      <c r="HJ133" s="116"/>
      <c r="HK133" s="116"/>
      <c r="HL133" s="116"/>
      <c r="HM133" s="116"/>
      <c r="HN133" s="116"/>
      <c r="HO133" s="116"/>
      <c r="HP133" s="116"/>
      <c r="HQ133" s="116"/>
      <c r="HR133" s="116"/>
      <c r="HS133" s="116"/>
      <c r="HT133" s="116"/>
      <c r="HU133" s="116"/>
      <c r="HV133" s="116"/>
      <c r="HW133" s="116"/>
      <c r="HX133" s="116"/>
      <c r="HY133" s="116"/>
      <c r="HZ133" s="116"/>
      <c r="IA133" s="116"/>
      <c r="IB133" s="116"/>
      <c r="IC133" s="116"/>
      <c r="ID133" s="116"/>
      <c r="IE133" s="116"/>
      <c r="IF133" s="116"/>
      <c r="IG133" s="116"/>
      <c r="IH133" s="116"/>
      <c r="II133" s="116"/>
      <c r="IJ133" s="116"/>
      <c r="IK133" s="116"/>
      <c r="IL133" s="116"/>
      <c r="IM133" s="116"/>
      <c r="IN133" s="116"/>
      <c r="IO133" s="116"/>
      <c r="IP133" s="116"/>
      <c r="IQ133" s="116"/>
      <c r="IR133" s="116"/>
      <c r="IS133" s="116"/>
      <c r="IT133" s="116"/>
      <c r="IU133" s="116"/>
      <c r="IV133" s="116"/>
      <c r="IW133" s="116"/>
    </row>
    <row r="134" spans="1:257" x14ac:dyDescent="0.3">
      <c r="B134" s="370">
        <v>0</v>
      </c>
      <c r="C134" s="370"/>
      <c r="D134" s="370"/>
      <c r="E134" s="370"/>
      <c r="F134" s="370"/>
      <c r="G134" s="370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/>
      <c r="BB134" s="116"/>
      <c r="BC134" s="116"/>
      <c r="BD134" s="116"/>
      <c r="BE134" s="116"/>
      <c r="BF134" s="116"/>
      <c r="BG134" s="116"/>
      <c r="BH134" s="116"/>
      <c r="BI134" s="116"/>
      <c r="BJ134" s="116"/>
      <c r="BK134" s="116"/>
      <c r="BL134" s="116"/>
      <c r="BM134" s="116"/>
      <c r="BN134" s="116"/>
      <c r="BO134" s="116"/>
      <c r="BP134" s="116"/>
      <c r="BQ134" s="116"/>
      <c r="BR134" s="116"/>
      <c r="BS134" s="116"/>
      <c r="BT134" s="116"/>
      <c r="BU134" s="116"/>
      <c r="BV134" s="116"/>
      <c r="BW134" s="116"/>
      <c r="BX134" s="116"/>
      <c r="BY134" s="116"/>
      <c r="BZ134" s="116"/>
      <c r="CA134" s="116"/>
      <c r="CB134" s="116"/>
      <c r="CC134" s="116"/>
      <c r="CD134" s="116"/>
      <c r="CE134" s="116"/>
      <c r="CF134" s="116"/>
      <c r="CG134" s="116"/>
      <c r="CH134" s="116"/>
      <c r="CI134" s="116"/>
      <c r="CJ134" s="116"/>
      <c r="CK134" s="116"/>
      <c r="CL134" s="116"/>
      <c r="CM134" s="116"/>
      <c r="CN134" s="116"/>
      <c r="CO134" s="116"/>
      <c r="CP134" s="116"/>
      <c r="CQ134" s="116"/>
      <c r="CR134" s="116"/>
      <c r="CS134" s="116"/>
      <c r="CT134" s="116"/>
      <c r="CU134" s="116"/>
      <c r="CV134" s="116"/>
      <c r="CW134" s="116"/>
      <c r="CX134" s="116"/>
      <c r="CY134" s="116"/>
      <c r="CZ134" s="116"/>
      <c r="DA134" s="116"/>
      <c r="DB134" s="116"/>
      <c r="DC134" s="116"/>
      <c r="DD134" s="116"/>
      <c r="DE134" s="116"/>
      <c r="DF134" s="116"/>
      <c r="DG134" s="116"/>
      <c r="DH134" s="116"/>
      <c r="DI134" s="116"/>
      <c r="DJ134" s="116"/>
      <c r="DK134" s="116"/>
      <c r="DL134" s="116"/>
      <c r="DM134" s="116"/>
      <c r="DN134" s="116"/>
      <c r="DO134" s="116"/>
      <c r="DP134" s="116"/>
      <c r="DQ134" s="116"/>
      <c r="DR134" s="116"/>
      <c r="DS134" s="116"/>
      <c r="DT134" s="116"/>
      <c r="DU134" s="116"/>
      <c r="DV134" s="116"/>
      <c r="DW134" s="116"/>
      <c r="DX134" s="116"/>
      <c r="DY134" s="116"/>
      <c r="DZ134" s="116"/>
      <c r="EA134" s="116"/>
      <c r="EB134" s="116"/>
      <c r="EC134" s="116"/>
      <c r="ED134" s="116"/>
      <c r="EE134" s="116"/>
      <c r="EF134" s="116"/>
      <c r="EG134" s="116"/>
      <c r="EH134" s="116"/>
      <c r="EI134" s="116"/>
      <c r="EJ134" s="116"/>
      <c r="EK134" s="116"/>
      <c r="EL134" s="116"/>
      <c r="EM134" s="116"/>
      <c r="EN134" s="116"/>
      <c r="EO134" s="116"/>
      <c r="EP134" s="116"/>
      <c r="EQ134" s="116"/>
      <c r="ER134" s="116"/>
      <c r="ES134" s="116"/>
      <c r="ET134" s="116"/>
      <c r="EU134" s="116"/>
      <c r="EV134" s="116"/>
      <c r="EW134" s="116"/>
      <c r="EX134" s="116"/>
      <c r="EY134" s="116"/>
      <c r="EZ134" s="116"/>
      <c r="FA134" s="116"/>
      <c r="FB134" s="116"/>
      <c r="FC134" s="116"/>
      <c r="FD134" s="116"/>
      <c r="FE134" s="116"/>
      <c r="FF134" s="116"/>
      <c r="FG134" s="116"/>
      <c r="FH134" s="116"/>
      <c r="FI134" s="116"/>
      <c r="FJ134" s="116"/>
      <c r="FK134" s="116"/>
      <c r="FL134" s="116"/>
      <c r="FM134" s="116"/>
      <c r="FN134" s="116"/>
      <c r="FO134" s="116"/>
      <c r="FP134" s="116"/>
      <c r="FQ134" s="116"/>
      <c r="FR134" s="116"/>
      <c r="FS134" s="116"/>
      <c r="FT134" s="116"/>
      <c r="FU134" s="116"/>
      <c r="FV134" s="116"/>
      <c r="FW134" s="116"/>
      <c r="FX134" s="116"/>
      <c r="FY134" s="116"/>
      <c r="FZ134" s="116"/>
      <c r="GA134" s="116"/>
      <c r="GB134" s="116"/>
      <c r="GC134" s="116"/>
      <c r="GD134" s="116"/>
      <c r="GE134" s="116"/>
      <c r="GF134" s="116"/>
      <c r="GG134" s="116"/>
      <c r="GH134" s="116"/>
      <c r="GI134" s="116"/>
      <c r="GJ134" s="116"/>
      <c r="GK134" s="116"/>
      <c r="GL134" s="116"/>
      <c r="GM134" s="116"/>
      <c r="GN134" s="116"/>
      <c r="GO134" s="116"/>
      <c r="GP134" s="116"/>
      <c r="GQ134" s="116"/>
      <c r="GR134" s="116"/>
      <c r="GS134" s="116"/>
      <c r="GT134" s="116"/>
      <c r="GU134" s="116"/>
      <c r="GV134" s="116"/>
      <c r="GW134" s="116"/>
      <c r="GX134" s="116"/>
      <c r="GY134" s="116"/>
      <c r="GZ134" s="116"/>
      <c r="HA134" s="116"/>
      <c r="HB134" s="116"/>
      <c r="HC134" s="116"/>
      <c r="HD134" s="116"/>
      <c r="HE134" s="116"/>
      <c r="HF134" s="116"/>
      <c r="HG134" s="116"/>
      <c r="HH134" s="116"/>
      <c r="HI134" s="116"/>
      <c r="HJ134" s="116"/>
      <c r="HK134" s="116"/>
      <c r="HL134" s="116"/>
      <c r="HM134" s="116"/>
      <c r="HN134" s="116"/>
      <c r="HO134" s="116"/>
      <c r="HP134" s="116"/>
      <c r="HQ134" s="116"/>
      <c r="HR134" s="116"/>
      <c r="HS134" s="116"/>
      <c r="HT134" s="116"/>
      <c r="HU134" s="116"/>
      <c r="HV134" s="116"/>
      <c r="HW134" s="116"/>
      <c r="HX134" s="116"/>
      <c r="HY134" s="116"/>
      <c r="HZ134" s="116"/>
      <c r="IA134" s="116"/>
      <c r="IB134" s="116"/>
      <c r="IC134" s="116"/>
      <c r="ID134" s="116"/>
      <c r="IE134" s="116"/>
      <c r="IF134" s="116"/>
      <c r="IG134" s="116"/>
      <c r="IH134" s="116"/>
      <c r="II134" s="116"/>
      <c r="IJ134" s="116"/>
      <c r="IK134" s="116"/>
      <c r="IL134" s="116"/>
      <c r="IM134" s="116"/>
      <c r="IN134" s="116"/>
      <c r="IO134" s="116"/>
      <c r="IP134" s="116"/>
      <c r="IQ134" s="116"/>
      <c r="IR134" s="116"/>
      <c r="IS134" s="116"/>
      <c r="IT134" s="116"/>
      <c r="IU134" s="116"/>
      <c r="IV134" s="116"/>
      <c r="IW134" s="116"/>
    </row>
    <row r="135" spans="1:257" x14ac:dyDescent="0.3">
      <c r="B135" s="157" t="s">
        <v>168</v>
      </c>
      <c r="C135" s="157">
        <v>0</v>
      </c>
      <c r="D135" s="157">
        <v>1</v>
      </c>
      <c r="E135" s="157">
        <v>2</v>
      </c>
      <c r="F135" s="157">
        <v>3</v>
      </c>
      <c r="G135" s="157">
        <v>4</v>
      </c>
      <c r="H135" s="157">
        <v>5</v>
      </c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6"/>
      <c r="BA135" s="116"/>
      <c r="BB135" s="116"/>
      <c r="BC135" s="116"/>
      <c r="BD135" s="116"/>
      <c r="BE135" s="116"/>
      <c r="BF135" s="116"/>
      <c r="BG135" s="116"/>
      <c r="BH135" s="116"/>
      <c r="BI135" s="116"/>
      <c r="BJ135" s="116"/>
      <c r="BK135" s="116"/>
      <c r="BL135" s="116"/>
      <c r="BM135" s="116"/>
      <c r="BN135" s="116"/>
      <c r="BO135" s="116"/>
      <c r="BP135" s="116"/>
      <c r="BQ135" s="116"/>
      <c r="BR135" s="116"/>
      <c r="BS135" s="116"/>
      <c r="BT135" s="116"/>
      <c r="BU135" s="116"/>
      <c r="BV135" s="116"/>
      <c r="BW135" s="116"/>
      <c r="BX135" s="116"/>
      <c r="BY135" s="116"/>
      <c r="BZ135" s="116"/>
      <c r="CA135" s="116"/>
      <c r="CB135" s="116"/>
      <c r="CC135" s="116"/>
      <c r="CD135" s="116"/>
      <c r="CE135" s="116"/>
      <c r="CF135" s="116"/>
      <c r="CG135" s="116"/>
      <c r="CH135" s="116"/>
      <c r="CI135" s="116"/>
      <c r="CJ135" s="116"/>
      <c r="CK135" s="116"/>
      <c r="CL135" s="116"/>
      <c r="CM135" s="116"/>
      <c r="CN135" s="116"/>
      <c r="CO135" s="116"/>
      <c r="CP135" s="116"/>
      <c r="CQ135" s="116"/>
      <c r="CR135" s="116"/>
      <c r="CS135" s="116"/>
      <c r="CT135" s="116"/>
      <c r="CU135" s="116"/>
      <c r="CV135" s="116"/>
      <c r="CW135" s="116"/>
      <c r="CX135" s="116"/>
      <c r="CY135" s="116"/>
      <c r="CZ135" s="116"/>
      <c r="DA135" s="116"/>
      <c r="DB135" s="116"/>
      <c r="DC135" s="116"/>
      <c r="DD135" s="116"/>
      <c r="DE135" s="116"/>
      <c r="DF135" s="116"/>
      <c r="DG135" s="116"/>
      <c r="DH135" s="116"/>
      <c r="DI135" s="116"/>
      <c r="DJ135" s="116"/>
      <c r="DK135" s="116"/>
      <c r="DL135" s="116"/>
      <c r="DM135" s="116"/>
      <c r="DN135" s="116"/>
      <c r="DO135" s="116"/>
      <c r="DP135" s="116"/>
      <c r="DQ135" s="116"/>
      <c r="DR135" s="116"/>
      <c r="DS135" s="116"/>
      <c r="DT135" s="116"/>
      <c r="DU135" s="116"/>
      <c r="DV135" s="116"/>
      <c r="DW135" s="116"/>
      <c r="DX135" s="116"/>
      <c r="DY135" s="116"/>
      <c r="DZ135" s="116"/>
      <c r="EA135" s="116"/>
      <c r="EB135" s="116"/>
      <c r="EC135" s="116"/>
      <c r="ED135" s="116"/>
      <c r="EE135" s="116"/>
      <c r="EF135" s="116"/>
      <c r="EG135" s="116"/>
      <c r="EH135" s="116"/>
      <c r="EI135" s="116"/>
      <c r="EJ135" s="116"/>
      <c r="EK135" s="116"/>
      <c r="EL135" s="116"/>
      <c r="EM135" s="116"/>
      <c r="EN135" s="116"/>
      <c r="EO135" s="116"/>
      <c r="EP135" s="116"/>
      <c r="EQ135" s="116"/>
      <c r="ER135" s="116"/>
      <c r="ES135" s="116"/>
      <c r="ET135" s="116"/>
      <c r="EU135" s="116"/>
      <c r="EV135" s="116"/>
      <c r="EW135" s="116"/>
      <c r="EX135" s="116"/>
      <c r="EY135" s="116"/>
      <c r="EZ135" s="116"/>
      <c r="FA135" s="116"/>
      <c r="FB135" s="116"/>
      <c r="FC135" s="116"/>
      <c r="FD135" s="116"/>
      <c r="FE135" s="116"/>
      <c r="FF135" s="116"/>
      <c r="FG135" s="116"/>
      <c r="FH135" s="116"/>
      <c r="FI135" s="116"/>
      <c r="FJ135" s="116"/>
      <c r="FK135" s="116"/>
      <c r="FL135" s="116"/>
      <c r="FM135" s="116"/>
      <c r="FN135" s="116"/>
      <c r="FO135" s="116"/>
      <c r="FP135" s="116"/>
      <c r="FQ135" s="116"/>
      <c r="FR135" s="116"/>
      <c r="FS135" s="116"/>
      <c r="FT135" s="116"/>
      <c r="FU135" s="116"/>
      <c r="FV135" s="116"/>
      <c r="FW135" s="116"/>
      <c r="FX135" s="116"/>
      <c r="FY135" s="116"/>
      <c r="FZ135" s="116"/>
      <c r="GA135" s="116"/>
      <c r="GB135" s="116"/>
      <c r="GC135" s="116"/>
      <c r="GD135" s="116"/>
      <c r="GE135" s="116"/>
      <c r="GF135" s="116"/>
      <c r="GG135" s="116"/>
      <c r="GH135" s="116"/>
      <c r="GI135" s="116"/>
      <c r="GJ135" s="116"/>
      <c r="GK135" s="116"/>
      <c r="GL135" s="116"/>
      <c r="GM135" s="116"/>
      <c r="GN135" s="116"/>
      <c r="GO135" s="116"/>
      <c r="GP135" s="116"/>
      <c r="GQ135" s="116"/>
      <c r="GR135" s="116"/>
      <c r="GS135" s="116"/>
      <c r="GT135" s="116"/>
      <c r="GU135" s="116"/>
      <c r="GV135" s="116"/>
      <c r="GW135" s="116"/>
      <c r="GX135" s="116"/>
      <c r="GY135" s="116"/>
      <c r="GZ135" s="116"/>
      <c r="HA135" s="116"/>
      <c r="HB135" s="116"/>
      <c r="HC135" s="116"/>
      <c r="HD135" s="116"/>
      <c r="HE135" s="116"/>
      <c r="HF135" s="116"/>
      <c r="HG135" s="116"/>
      <c r="HH135" s="116"/>
      <c r="HI135" s="116"/>
      <c r="HJ135" s="116"/>
      <c r="HK135" s="116"/>
      <c r="HL135" s="116"/>
      <c r="HM135" s="116"/>
      <c r="HN135" s="116"/>
      <c r="HO135" s="116"/>
      <c r="HP135" s="116"/>
      <c r="HQ135" s="116"/>
      <c r="HR135" s="116"/>
      <c r="HS135" s="116"/>
      <c r="HT135" s="116"/>
      <c r="HU135" s="116"/>
      <c r="HV135" s="116"/>
      <c r="HW135" s="116"/>
      <c r="HX135" s="116"/>
      <c r="HY135" s="116"/>
      <c r="HZ135" s="116"/>
      <c r="IA135" s="116"/>
      <c r="IB135" s="116"/>
      <c r="IC135" s="116"/>
      <c r="ID135" s="116"/>
      <c r="IE135" s="116"/>
      <c r="IF135" s="116"/>
      <c r="IG135" s="116"/>
      <c r="IH135" s="116"/>
      <c r="II135" s="116"/>
      <c r="IJ135" s="116"/>
      <c r="IK135" s="116"/>
      <c r="IL135" s="116"/>
      <c r="IM135" s="116"/>
      <c r="IN135" s="116"/>
      <c r="IO135" s="116"/>
      <c r="IP135" s="116"/>
      <c r="IQ135" s="116"/>
      <c r="IR135" s="116"/>
      <c r="IS135" s="116"/>
      <c r="IT135" s="116"/>
      <c r="IU135" s="116"/>
      <c r="IV135" s="116"/>
      <c r="IW135" s="116"/>
    </row>
    <row r="136" spans="1:257" x14ac:dyDescent="0.3">
      <c r="B136" s="141" t="s">
        <v>180</v>
      </c>
      <c r="C136" s="236"/>
      <c r="D136" s="236">
        <f t="shared" ref="D136:H139" si="33">+D98</f>
        <v>115219911861.59999</v>
      </c>
      <c r="E136" s="236">
        <f t="shared" si="33"/>
        <v>127971789191.94868</v>
      </c>
      <c r="F136" s="236">
        <f t="shared" si="33"/>
        <v>177776294011.81506</v>
      </c>
      <c r="G136" s="236">
        <f t="shared" si="33"/>
        <v>197657973082.22723</v>
      </c>
      <c r="H136" s="236">
        <f t="shared" si="33"/>
        <v>219688331291.53909</v>
      </c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  <c r="BD136" s="116"/>
      <c r="BE136" s="116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6"/>
      <c r="BQ136" s="116"/>
      <c r="BR136" s="116"/>
      <c r="BS136" s="116"/>
      <c r="BT136" s="116"/>
      <c r="BU136" s="116"/>
      <c r="BV136" s="116"/>
      <c r="BW136" s="116"/>
      <c r="BX136" s="116"/>
      <c r="BY136" s="116"/>
      <c r="BZ136" s="116"/>
      <c r="CA136" s="116"/>
      <c r="CB136" s="116"/>
      <c r="CC136" s="116"/>
      <c r="CD136" s="116"/>
      <c r="CE136" s="116"/>
      <c r="CF136" s="116"/>
      <c r="CG136" s="116"/>
      <c r="CH136" s="116"/>
      <c r="CI136" s="116"/>
      <c r="CJ136" s="116"/>
      <c r="CK136" s="116"/>
      <c r="CL136" s="116"/>
      <c r="CM136" s="116"/>
      <c r="CN136" s="116"/>
      <c r="CO136" s="116"/>
      <c r="CP136" s="116"/>
      <c r="CQ136" s="116"/>
      <c r="CR136" s="116"/>
      <c r="CS136" s="116"/>
      <c r="CT136" s="116"/>
      <c r="CU136" s="116"/>
      <c r="CV136" s="116"/>
      <c r="CW136" s="116"/>
      <c r="CX136" s="116"/>
      <c r="CY136" s="116"/>
      <c r="CZ136" s="116"/>
      <c r="DA136" s="116"/>
      <c r="DB136" s="116"/>
      <c r="DC136" s="116"/>
      <c r="DD136" s="116"/>
      <c r="DE136" s="116"/>
      <c r="DF136" s="116"/>
      <c r="DG136" s="116"/>
      <c r="DH136" s="116"/>
      <c r="DI136" s="116"/>
      <c r="DJ136" s="116"/>
      <c r="DK136" s="116"/>
      <c r="DL136" s="116"/>
      <c r="DM136" s="116"/>
      <c r="DN136" s="116"/>
      <c r="DO136" s="116"/>
      <c r="DP136" s="116"/>
      <c r="DQ136" s="116"/>
      <c r="DR136" s="116"/>
      <c r="DS136" s="116"/>
      <c r="DT136" s="116"/>
      <c r="DU136" s="116"/>
      <c r="DV136" s="116"/>
      <c r="DW136" s="116"/>
      <c r="DX136" s="116"/>
      <c r="DY136" s="116"/>
      <c r="DZ136" s="116"/>
      <c r="EA136" s="116"/>
      <c r="EB136" s="116"/>
      <c r="EC136" s="116"/>
      <c r="ED136" s="116"/>
      <c r="EE136" s="116"/>
      <c r="EF136" s="116"/>
      <c r="EG136" s="116"/>
      <c r="EH136" s="116"/>
      <c r="EI136" s="116"/>
      <c r="EJ136" s="116"/>
      <c r="EK136" s="116"/>
      <c r="EL136" s="116"/>
      <c r="EM136" s="116"/>
      <c r="EN136" s="116"/>
      <c r="EO136" s="116"/>
      <c r="EP136" s="116"/>
      <c r="EQ136" s="116"/>
      <c r="ER136" s="116"/>
      <c r="ES136" s="116"/>
      <c r="ET136" s="116"/>
      <c r="EU136" s="116"/>
      <c r="EV136" s="116"/>
      <c r="EW136" s="116"/>
      <c r="EX136" s="116"/>
      <c r="EY136" s="116"/>
      <c r="EZ136" s="116"/>
      <c r="FA136" s="116"/>
      <c r="FB136" s="116"/>
      <c r="FC136" s="116"/>
      <c r="FD136" s="116"/>
      <c r="FE136" s="116"/>
      <c r="FF136" s="116"/>
      <c r="FG136" s="116"/>
      <c r="FH136" s="116"/>
      <c r="FI136" s="116"/>
      <c r="FJ136" s="116"/>
      <c r="FK136" s="116"/>
      <c r="FL136" s="116"/>
      <c r="FM136" s="116"/>
      <c r="FN136" s="116"/>
      <c r="FO136" s="116"/>
      <c r="FP136" s="116"/>
      <c r="FQ136" s="116"/>
      <c r="FR136" s="116"/>
      <c r="FS136" s="116"/>
      <c r="FT136" s="116"/>
      <c r="FU136" s="116"/>
      <c r="FV136" s="116"/>
      <c r="FW136" s="116"/>
      <c r="FX136" s="116"/>
      <c r="FY136" s="116"/>
      <c r="FZ136" s="116"/>
      <c r="GA136" s="116"/>
      <c r="GB136" s="116"/>
      <c r="GC136" s="116"/>
      <c r="GD136" s="116"/>
      <c r="GE136" s="116"/>
      <c r="GF136" s="116"/>
      <c r="GG136" s="116"/>
      <c r="GH136" s="116"/>
      <c r="GI136" s="116"/>
      <c r="GJ136" s="116"/>
      <c r="GK136" s="116"/>
      <c r="GL136" s="116"/>
      <c r="GM136" s="116"/>
      <c r="GN136" s="116"/>
      <c r="GO136" s="116"/>
      <c r="GP136" s="116"/>
      <c r="GQ136" s="116"/>
      <c r="GR136" s="116"/>
      <c r="GS136" s="116"/>
      <c r="GT136" s="116"/>
      <c r="GU136" s="116"/>
      <c r="GV136" s="116"/>
      <c r="GW136" s="116"/>
      <c r="GX136" s="116"/>
      <c r="GY136" s="116"/>
      <c r="GZ136" s="116"/>
      <c r="HA136" s="116"/>
      <c r="HB136" s="116"/>
      <c r="HC136" s="116"/>
      <c r="HD136" s="116"/>
      <c r="HE136" s="116"/>
      <c r="HF136" s="116"/>
      <c r="HG136" s="116"/>
      <c r="HH136" s="116"/>
      <c r="HI136" s="116"/>
      <c r="HJ136" s="116"/>
      <c r="HK136" s="116"/>
      <c r="HL136" s="116"/>
      <c r="HM136" s="116"/>
      <c r="HN136" s="116"/>
      <c r="HO136" s="116"/>
      <c r="HP136" s="116"/>
      <c r="HQ136" s="116"/>
      <c r="HR136" s="116"/>
      <c r="HS136" s="116"/>
      <c r="HT136" s="116"/>
      <c r="HU136" s="116"/>
      <c r="HV136" s="116"/>
      <c r="HW136" s="116"/>
      <c r="HX136" s="116"/>
      <c r="HY136" s="116"/>
      <c r="HZ136" s="116"/>
      <c r="IA136" s="116"/>
      <c r="IB136" s="116"/>
      <c r="IC136" s="116"/>
      <c r="ID136" s="116"/>
      <c r="IE136" s="116"/>
      <c r="IF136" s="116"/>
      <c r="IG136" s="116"/>
      <c r="IH136" s="116"/>
      <c r="II136" s="116"/>
      <c r="IJ136" s="116"/>
      <c r="IK136" s="116"/>
      <c r="IL136" s="116"/>
      <c r="IM136" s="116"/>
      <c r="IN136" s="116"/>
      <c r="IO136" s="116"/>
      <c r="IP136" s="116"/>
      <c r="IQ136" s="116"/>
      <c r="IR136" s="116"/>
      <c r="IS136" s="116"/>
      <c r="IT136" s="116"/>
      <c r="IU136" s="116"/>
      <c r="IV136" s="116"/>
      <c r="IW136" s="116"/>
    </row>
    <row r="137" spans="1:257" x14ac:dyDescent="0.3">
      <c r="B137" s="133" t="s">
        <v>200</v>
      </c>
      <c r="C137" s="236"/>
      <c r="D137" s="236">
        <f t="shared" si="33"/>
        <v>116185402623.33333</v>
      </c>
      <c r="E137" s="236">
        <f t="shared" si="33"/>
        <v>129044134919.61874</v>
      </c>
      <c r="F137" s="236">
        <f t="shared" si="33"/>
        <v>143412783175.58322</v>
      </c>
      <c r="G137" s="236">
        <f t="shared" si="33"/>
        <v>159451407720.44415</v>
      </c>
      <c r="H137" s="236">
        <f t="shared" si="33"/>
        <v>177223380461.00143</v>
      </c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  <c r="AU137" s="116"/>
      <c r="AV137" s="116"/>
      <c r="AW137" s="116"/>
      <c r="AX137" s="116"/>
      <c r="AY137" s="116"/>
      <c r="AZ137" s="116"/>
      <c r="BA137" s="116"/>
      <c r="BB137" s="116"/>
      <c r="BC137" s="116"/>
      <c r="BD137" s="116"/>
      <c r="BE137" s="116"/>
      <c r="BF137" s="116"/>
      <c r="BG137" s="116"/>
      <c r="BH137" s="116"/>
      <c r="BI137" s="116"/>
      <c r="BJ137" s="116"/>
      <c r="BK137" s="116"/>
      <c r="BL137" s="116"/>
      <c r="BM137" s="116"/>
      <c r="BN137" s="116"/>
      <c r="BO137" s="116"/>
      <c r="BP137" s="116"/>
      <c r="BQ137" s="116"/>
      <c r="BR137" s="116"/>
      <c r="BS137" s="116"/>
      <c r="BT137" s="116"/>
      <c r="BU137" s="116"/>
      <c r="BV137" s="116"/>
      <c r="BW137" s="116"/>
      <c r="BX137" s="116"/>
      <c r="BY137" s="116"/>
      <c r="BZ137" s="116"/>
      <c r="CA137" s="116"/>
      <c r="CB137" s="116"/>
      <c r="CC137" s="116"/>
      <c r="CD137" s="116"/>
      <c r="CE137" s="116"/>
      <c r="CF137" s="116"/>
      <c r="CG137" s="116"/>
      <c r="CH137" s="116"/>
      <c r="CI137" s="116"/>
      <c r="CJ137" s="116"/>
      <c r="CK137" s="116"/>
      <c r="CL137" s="116"/>
      <c r="CM137" s="116"/>
      <c r="CN137" s="116"/>
      <c r="CO137" s="116"/>
      <c r="CP137" s="116"/>
      <c r="CQ137" s="116"/>
      <c r="CR137" s="116"/>
      <c r="CS137" s="116"/>
      <c r="CT137" s="116"/>
      <c r="CU137" s="116"/>
      <c r="CV137" s="116"/>
      <c r="CW137" s="116"/>
      <c r="CX137" s="116"/>
      <c r="CY137" s="116"/>
      <c r="CZ137" s="116"/>
      <c r="DA137" s="116"/>
      <c r="DB137" s="116"/>
      <c r="DC137" s="116"/>
      <c r="DD137" s="116"/>
      <c r="DE137" s="116"/>
      <c r="DF137" s="116"/>
      <c r="DG137" s="116"/>
      <c r="DH137" s="116"/>
      <c r="DI137" s="116"/>
      <c r="DJ137" s="116"/>
      <c r="DK137" s="116"/>
      <c r="DL137" s="116"/>
      <c r="DM137" s="116"/>
      <c r="DN137" s="116"/>
      <c r="DO137" s="116"/>
      <c r="DP137" s="116"/>
      <c r="DQ137" s="116"/>
      <c r="DR137" s="116"/>
      <c r="DS137" s="116"/>
      <c r="DT137" s="116"/>
      <c r="DU137" s="116"/>
      <c r="DV137" s="116"/>
      <c r="DW137" s="116"/>
      <c r="DX137" s="116"/>
      <c r="DY137" s="116"/>
      <c r="DZ137" s="116"/>
      <c r="EA137" s="116"/>
      <c r="EB137" s="116"/>
      <c r="EC137" s="116"/>
      <c r="ED137" s="116"/>
      <c r="EE137" s="116"/>
      <c r="EF137" s="116"/>
      <c r="EG137" s="116"/>
      <c r="EH137" s="116"/>
      <c r="EI137" s="116"/>
      <c r="EJ137" s="116"/>
      <c r="EK137" s="116"/>
      <c r="EL137" s="116"/>
      <c r="EM137" s="116"/>
      <c r="EN137" s="116"/>
      <c r="EO137" s="116"/>
      <c r="EP137" s="116"/>
      <c r="EQ137" s="116"/>
      <c r="ER137" s="116"/>
      <c r="ES137" s="116"/>
      <c r="ET137" s="116"/>
      <c r="EU137" s="116"/>
      <c r="EV137" s="116"/>
      <c r="EW137" s="116"/>
      <c r="EX137" s="116"/>
      <c r="EY137" s="116"/>
      <c r="EZ137" s="116"/>
      <c r="FA137" s="116"/>
      <c r="FB137" s="116"/>
      <c r="FC137" s="116"/>
      <c r="FD137" s="116"/>
      <c r="FE137" s="116"/>
      <c r="FF137" s="116"/>
      <c r="FG137" s="116"/>
      <c r="FH137" s="116"/>
      <c r="FI137" s="116"/>
      <c r="FJ137" s="116"/>
      <c r="FK137" s="116"/>
      <c r="FL137" s="116"/>
      <c r="FM137" s="116"/>
      <c r="FN137" s="116"/>
      <c r="FO137" s="116"/>
      <c r="FP137" s="116"/>
      <c r="FQ137" s="116"/>
      <c r="FR137" s="116"/>
      <c r="FS137" s="116"/>
      <c r="FT137" s="116"/>
      <c r="FU137" s="116"/>
      <c r="FV137" s="116"/>
      <c r="FW137" s="116"/>
      <c r="FX137" s="116"/>
      <c r="FY137" s="116"/>
      <c r="FZ137" s="116"/>
      <c r="GA137" s="116"/>
      <c r="GB137" s="116"/>
      <c r="GC137" s="116"/>
      <c r="GD137" s="116"/>
      <c r="GE137" s="116"/>
      <c r="GF137" s="116"/>
      <c r="GG137" s="116"/>
      <c r="GH137" s="116"/>
      <c r="GI137" s="116"/>
      <c r="GJ137" s="116"/>
      <c r="GK137" s="116"/>
      <c r="GL137" s="116"/>
      <c r="GM137" s="116"/>
      <c r="GN137" s="116"/>
      <c r="GO137" s="116"/>
      <c r="GP137" s="116"/>
      <c r="GQ137" s="116"/>
      <c r="GR137" s="116"/>
      <c r="GS137" s="116"/>
      <c r="GT137" s="116"/>
      <c r="GU137" s="116"/>
      <c r="GV137" s="116"/>
      <c r="GW137" s="116"/>
      <c r="GX137" s="116"/>
      <c r="GY137" s="116"/>
      <c r="GZ137" s="116"/>
      <c r="HA137" s="116"/>
      <c r="HB137" s="116"/>
      <c r="HC137" s="116"/>
      <c r="HD137" s="116"/>
      <c r="HE137" s="116"/>
      <c r="HF137" s="116"/>
      <c r="HG137" s="116"/>
      <c r="HH137" s="116"/>
      <c r="HI137" s="116"/>
      <c r="HJ137" s="116"/>
      <c r="HK137" s="116"/>
      <c r="HL137" s="116"/>
      <c r="HM137" s="116"/>
      <c r="HN137" s="116"/>
      <c r="HO137" s="116"/>
      <c r="HP137" s="116"/>
      <c r="HQ137" s="116"/>
      <c r="HR137" s="116"/>
      <c r="HS137" s="116"/>
      <c r="HT137" s="116"/>
      <c r="HU137" s="116"/>
      <c r="HV137" s="116"/>
      <c r="HW137" s="116"/>
      <c r="HX137" s="116"/>
      <c r="HY137" s="116"/>
      <c r="HZ137" s="116"/>
      <c r="IA137" s="116"/>
      <c r="IB137" s="116"/>
      <c r="IC137" s="116"/>
      <c r="ID137" s="116"/>
      <c r="IE137" s="116"/>
      <c r="IF137" s="116"/>
      <c r="IG137" s="116"/>
      <c r="IH137" s="116"/>
      <c r="II137" s="116"/>
      <c r="IJ137" s="116"/>
      <c r="IK137" s="116"/>
      <c r="IL137" s="116"/>
      <c r="IM137" s="116"/>
      <c r="IN137" s="116"/>
      <c r="IO137" s="116"/>
      <c r="IP137" s="116"/>
      <c r="IQ137" s="116"/>
      <c r="IR137" s="116"/>
      <c r="IS137" s="116"/>
      <c r="IT137" s="116"/>
      <c r="IU137" s="116"/>
      <c r="IV137" s="116"/>
      <c r="IW137" s="116"/>
    </row>
    <row r="138" spans="1:257" x14ac:dyDescent="0.3">
      <c r="B138" s="133" t="s">
        <v>201</v>
      </c>
      <c r="C138" s="236"/>
      <c r="D138" s="236">
        <f t="shared" si="33"/>
        <v>6091896286.9063864</v>
      </c>
      <c r="E138" s="236">
        <f t="shared" si="33"/>
        <v>6466377732.0922728</v>
      </c>
      <c r="F138" s="236">
        <f t="shared" si="33"/>
        <v>6844179084.2786293</v>
      </c>
      <c r="G138" s="236">
        <f t="shared" si="33"/>
        <v>7247234501.5965681</v>
      </c>
      <c r="H138" s="236">
        <f t="shared" si="33"/>
        <v>7671413506.3472528</v>
      </c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  <c r="BD138" s="116"/>
      <c r="BE138" s="116"/>
      <c r="BF138" s="116"/>
      <c r="BG138" s="116"/>
      <c r="BH138" s="116"/>
      <c r="BI138" s="116"/>
      <c r="BJ138" s="116"/>
      <c r="BK138" s="116"/>
      <c r="BL138" s="116"/>
      <c r="BM138" s="116"/>
      <c r="BN138" s="116"/>
      <c r="BO138" s="116"/>
      <c r="BP138" s="116"/>
      <c r="BQ138" s="116"/>
      <c r="BR138" s="116"/>
      <c r="BS138" s="116"/>
      <c r="BT138" s="116"/>
      <c r="BU138" s="116"/>
      <c r="BV138" s="116"/>
      <c r="BW138" s="116"/>
      <c r="BX138" s="116"/>
      <c r="BY138" s="116"/>
      <c r="BZ138" s="116"/>
      <c r="CA138" s="116"/>
      <c r="CB138" s="116"/>
      <c r="CC138" s="116"/>
      <c r="CD138" s="116"/>
      <c r="CE138" s="116"/>
      <c r="CF138" s="116"/>
      <c r="CG138" s="116"/>
      <c r="CH138" s="116"/>
      <c r="CI138" s="116"/>
      <c r="CJ138" s="116"/>
      <c r="CK138" s="116"/>
      <c r="CL138" s="116"/>
      <c r="CM138" s="116"/>
      <c r="CN138" s="116"/>
      <c r="CO138" s="116"/>
      <c r="CP138" s="116"/>
      <c r="CQ138" s="116"/>
      <c r="CR138" s="116"/>
      <c r="CS138" s="116"/>
      <c r="CT138" s="116"/>
      <c r="CU138" s="116"/>
      <c r="CV138" s="116"/>
      <c r="CW138" s="116"/>
      <c r="CX138" s="116"/>
      <c r="CY138" s="116"/>
      <c r="CZ138" s="116"/>
      <c r="DA138" s="116"/>
      <c r="DB138" s="116"/>
      <c r="DC138" s="116"/>
      <c r="DD138" s="116"/>
      <c r="DE138" s="116"/>
      <c r="DF138" s="116"/>
      <c r="DG138" s="116"/>
      <c r="DH138" s="116"/>
      <c r="DI138" s="116"/>
      <c r="DJ138" s="116"/>
      <c r="DK138" s="116"/>
      <c r="DL138" s="116"/>
      <c r="DM138" s="116"/>
      <c r="DN138" s="116"/>
      <c r="DO138" s="116"/>
      <c r="DP138" s="116"/>
      <c r="DQ138" s="116"/>
      <c r="DR138" s="116"/>
      <c r="DS138" s="116"/>
      <c r="DT138" s="116"/>
      <c r="DU138" s="116"/>
      <c r="DV138" s="116"/>
      <c r="DW138" s="116"/>
      <c r="DX138" s="116"/>
      <c r="DY138" s="116"/>
      <c r="DZ138" s="116"/>
      <c r="EA138" s="116"/>
      <c r="EB138" s="116"/>
      <c r="EC138" s="116"/>
      <c r="ED138" s="116"/>
      <c r="EE138" s="116"/>
      <c r="EF138" s="116"/>
      <c r="EG138" s="116"/>
      <c r="EH138" s="116"/>
      <c r="EI138" s="116"/>
      <c r="EJ138" s="116"/>
      <c r="EK138" s="116"/>
      <c r="EL138" s="116"/>
      <c r="EM138" s="116"/>
      <c r="EN138" s="116"/>
      <c r="EO138" s="116"/>
      <c r="EP138" s="116"/>
      <c r="EQ138" s="116"/>
      <c r="ER138" s="116"/>
      <c r="ES138" s="116"/>
      <c r="ET138" s="116"/>
      <c r="EU138" s="116"/>
      <c r="EV138" s="116"/>
      <c r="EW138" s="116"/>
      <c r="EX138" s="116"/>
      <c r="EY138" s="116"/>
      <c r="EZ138" s="116"/>
      <c r="FA138" s="116"/>
      <c r="FB138" s="116"/>
      <c r="FC138" s="116"/>
      <c r="FD138" s="116"/>
      <c r="FE138" s="116"/>
      <c r="FF138" s="116"/>
      <c r="FG138" s="116"/>
      <c r="FH138" s="116"/>
      <c r="FI138" s="116"/>
      <c r="FJ138" s="116"/>
      <c r="FK138" s="116"/>
      <c r="FL138" s="116"/>
      <c r="FM138" s="116"/>
      <c r="FN138" s="116"/>
      <c r="FO138" s="116"/>
      <c r="FP138" s="116"/>
      <c r="FQ138" s="116"/>
      <c r="FR138" s="116"/>
      <c r="FS138" s="116"/>
      <c r="FT138" s="116"/>
      <c r="FU138" s="116"/>
      <c r="FV138" s="116"/>
      <c r="FW138" s="116"/>
      <c r="FX138" s="116"/>
      <c r="FY138" s="116"/>
      <c r="FZ138" s="116"/>
      <c r="GA138" s="116"/>
      <c r="GB138" s="116"/>
      <c r="GC138" s="116"/>
      <c r="GD138" s="116"/>
      <c r="GE138" s="116"/>
      <c r="GF138" s="116"/>
      <c r="GG138" s="116"/>
      <c r="GH138" s="116"/>
      <c r="GI138" s="116"/>
      <c r="GJ138" s="116"/>
      <c r="GK138" s="116"/>
      <c r="GL138" s="116"/>
      <c r="GM138" s="116"/>
      <c r="GN138" s="116"/>
      <c r="GO138" s="116"/>
      <c r="GP138" s="116"/>
      <c r="GQ138" s="116"/>
      <c r="GR138" s="116"/>
      <c r="GS138" s="116"/>
      <c r="GT138" s="116"/>
      <c r="GU138" s="116"/>
      <c r="GV138" s="116"/>
      <c r="GW138" s="116"/>
      <c r="GX138" s="116"/>
      <c r="GY138" s="116"/>
      <c r="GZ138" s="116"/>
      <c r="HA138" s="116"/>
      <c r="HB138" s="116"/>
      <c r="HC138" s="116"/>
      <c r="HD138" s="116"/>
      <c r="HE138" s="116"/>
      <c r="HF138" s="116"/>
      <c r="HG138" s="116"/>
      <c r="HH138" s="116"/>
      <c r="HI138" s="116"/>
      <c r="HJ138" s="116"/>
      <c r="HK138" s="116"/>
      <c r="HL138" s="116"/>
      <c r="HM138" s="116"/>
      <c r="HN138" s="116"/>
      <c r="HO138" s="116"/>
      <c r="HP138" s="116"/>
      <c r="HQ138" s="116"/>
      <c r="HR138" s="116"/>
      <c r="HS138" s="116"/>
      <c r="HT138" s="116"/>
      <c r="HU138" s="116"/>
      <c r="HV138" s="116"/>
      <c r="HW138" s="116"/>
      <c r="HX138" s="116"/>
      <c r="HY138" s="116"/>
      <c r="HZ138" s="116"/>
      <c r="IA138" s="116"/>
      <c r="IB138" s="116"/>
      <c r="IC138" s="116"/>
      <c r="ID138" s="116"/>
      <c r="IE138" s="116"/>
      <c r="IF138" s="116"/>
      <c r="IG138" s="116"/>
      <c r="IH138" s="116"/>
      <c r="II138" s="116"/>
      <c r="IJ138" s="116"/>
      <c r="IK138" s="116"/>
      <c r="IL138" s="116"/>
      <c r="IM138" s="116"/>
      <c r="IN138" s="116"/>
      <c r="IO138" s="116"/>
      <c r="IP138" s="116"/>
      <c r="IQ138" s="116"/>
      <c r="IR138" s="116"/>
      <c r="IS138" s="116"/>
      <c r="IT138" s="116"/>
      <c r="IU138" s="116"/>
      <c r="IV138" s="116"/>
      <c r="IW138" s="116"/>
    </row>
    <row r="139" spans="1:257" x14ac:dyDescent="0.3">
      <c r="B139" s="133" t="s">
        <v>202</v>
      </c>
      <c r="C139" s="236"/>
      <c r="D139" s="236">
        <f t="shared" si="33"/>
        <v>351290697.1056</v>
      </c>
      <c r="E139" s="236">
        <f t="shared" si="33"/>
        <v>665085762.44835985</v>
      </c>
      <c r="F139" s="236">
        <f t="shared" si="33"/>
        <v>737606713.98572898</v>
      </c>
      <c r="G139" s="236">
        <f t="shared" si="33"/>
        <v>819377794.29818702</v>
      </c>
      <c r="H139" s="236">
        <f t="shared" si="33"/>
        <v>909724028.65309358</v>
      </c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  <c r="AU139" s="116"/>
      <c r="AV139" s="116"/>
      <c r="AW139" s="116"/>
      <c r="AX139" s="116"/>
      <c r="AY139" s="116"/>
      <c r="AZ139" s="116"/>
      <c r="BA139" s="116"/>
      <c r="BB139" s="116"/>
      <c r="BC139" s="116"/>
      <c r="BD139" s="116"/>
      <c r="BE139" s="116"/>
      <c r="BF139" s="116"/>
      <c r="BG139" s="116"/>
      <c r="BH139" s="116"/>
      <c r="BI139" s="116"/>
      <c r="BJ139" s="116"/>
      <c r="BK139" s="116"/>
      <c r="BL139" s="116"/>
      <c r="BM139" s="116"/>
      <c r="BN139" s="116"/>
      <c r="BO139" s="116"/>
      <c r="BP139" s="116"/>
      <c r="BQ139" s="116"/>
      <c r="BR139" s="116"/>
      <c r="BS139" s="116"/>
      <c r="BT139" s="116"/>
      <c r="BU139" s="116"/>
      <c r="BV139" s="116"/>
      <c r="BW139" s="116"/>
      <c r="BX139" s="116"/>
      <c r="BY139" s="116"/>
      <c r="BZ139" s="116"/>
      <c r="CA139" s="116"/>
      <c r="CB139" s="116"/>
      <c r="CC139" s="116"/>
      <c r="CD139" s="116"/>
      <c r="CE139" s="116"/>
      <c r="CF139" s="116"/>
      <c r="CG139" s="116"/>
      <c r="CH139" s="116"/>
      <c r="CI139" s="116"/>
      <c r="CJ139" s="116"/>
      <c r="CK139" s="116"/>
      <c r="CL139" s="116"/>
      <c r="CM139" s="116"/>
      <c r="CN139" s="116"/>
      <c r="CO139" s="116"/>
      <c r="CP139" s="116"/>
      <c r="CQ139" s="116"/>
      <c r="CR139" s="116"/>
      <c r="CS139" s="116"/>
      <c r="CT139" s="116"/>
      <c r="CU139" s="116"/>
      <c r="CV139" s="116"/>
      <c r="CW139" s="116"/>
      <c r="CX139" s="116"/>
      <c r="CY139" s="116"/>
      <c r="CZ139" s="116"/>
      <c r="DA139" s="116"/>
      <c r="DB139" s="116"/>
      <c r="DC139" s="116"/>
      <c r="DD139" s="116"/>
      <c r="DE139" s="116"/>
      <c r="DF139" s="116"/>
      <c r="DG139" s="116"/>
      <c r="DH139" s="116"/>
      <c r="DI139" s="116"/>
      <c r="DJ139" s="116"/>
      <c r="DK139" s="116"/>
      <c r="DL139" s="116"/>
      <c r="DM139" s="116"/>
      <c r="DN139" s="116"/>
      <c r="DO139" s="116"/>
      <c r="DP139" s="116"/>
      <c r="DQ139" s="116"/>
      <c r="DR139" s="116"/>
      <c r="DS139" s="116"/>
      <c r="DT139" s="116"/>
      <c r="DU139" s="116"/>
      <c r="DV139" s="116"/>
      <c r="DW139" s="116"/>
      <c r="DX139" s="116"/>
      <c r="DY139" s="116"/>
      <c r="DZ139" s="116"/>
      <c r="EA139" s="116"/>
      <c r="EB139" s="116"/>
      <c r="EC139" s="116"/>
      <c r="ED139" s="116"/>
      <c r="EE139" s="116"/>
      <c r="EF139" s="116"/>
      <c r="EG139" s="116"/>
      <c r="EH139" s="116"/>
      <c r="EI139" s="116"/>
      <c r="EJ139" s="116"/>
      <c r="EK139" s="116"/>
      <c r="EL139" s="116"/>
      <c r="EM139" s="116"/>
      <c r="EN139" s="116"/>
      <c r="EO139" s="116"/>
      <c r="EP139" s="116"/>
      <c r="EQ139" s="116"/>
      <c r="ER139" s="116"/>
      <c r="ES139" s="116"/>
      <c r="ET139" s="116"/>
      <c r="EU139" s="116"/>
      <c r="EV139" s="116"/>
      <c r="EW139" s="116"/>
      <c r="EX139" s="116"/>
      <c r="EY139" s="116"/>
      <c r="EZ139" s="116"/>
      <c r="FA139" s="116"/>
      <c r="FB139" s="116"/>
      <c r="FC139" s="116"/>
      <c r="FD139" s="116"/>
      <c r="FE139" s="116"/>
      <c r="FF139" s="116"/>
      <c r="FG139" s="116"/>
      <c r="FH139" s="116"/>
      <c r="FI139" s="116"/>
      <c r="FJ139" s="116"/>
      <c r="FK139" s="116"/>
      <c r="FL139" s="116"/>
      <c r="FM139" s="116"/>
      <c r="FN139" s="116"/>
      <c r="FO139" s="116"/>
      <c r="FP139" s="116"/>
      <c r="FQ139" s="116"/>
      <c r="FR139" s="116"/>
      <c r="FS139" s="116"/>
      <c r="FT139" s="116"/>
      <c r="FU139" s="116"/>
      <c r="FV139" s="116"/>
      <c r="FW139" s="116"/>
      <c r="FX139" s="116"/>
      <c r="FY139" s="116"/>
      <c r="FZ139" s="116"/>
      <c r="GA139" s="116"/>
      <c r="GB139" s="116"/>
      <c r="GC139" s="116"/>
      <c r="GD139" s="116"/>
      <c r="GE139" s="116"/>
      <c r="GF139" s="116"/>
      <c r="GG139" s="116"/>
      <c r="GH139" s="116"/>
      <c r="GI139" s="116"/>
      <c r="GJ139" s="116"/>
      <c r="GK139" s="116"/>
      <c r="GL139" s="116"/>
      <c r="GM139" s="116"/>
      <c r="GN139" s="116"/>
      <c r="GO139" s="116"/>
      <c r="GP139" s="116"/>
      <c r="GQ139" s="116"/>
      <c r="GR139" s="116"/>
      <c r="GS139" s="116"/>
      <c r="GT139" s="116"/>
      <c r="GU139" s="116"/>
      <c r="GV139" s="116"/>
      <c r="GW139" s="116"/>
      <c r="GX139" s="116"/>
      <c r="GY139" s="116"/>
      <c r="GZ139" s="116"/>
      <c r="HA139" s="116"/>
      <c r="HB139" s="116"/>
      <c r="HC139" s="116"/>
      <c r="HD139" s="116"/>
      <c r="HE139" s="116"/>
      <c r="HF139" s="116"/>
      <c r="HG139" s="116"/>
      <c r="HH139" s="116"/>
      <c r="HI139" s="116"/>
      <c r="HJ139" s="116"/>
      <c r="HK139" s="116"/>
      <c r="HL139" s="116"/>
      <c r="HM139" s="116"/>
      <c r="HN139" s="116"/>
      <c r="HO139" s="116"/>
      <c r="HP139" s="116"/>
      <c r="HQ139" s="116"/>
      <c r="HR139" s="116"/>
      <c r="HS139" s="116"/>
      <c r="HT139" s="116"/>
      <c r="HU139" s="116"/>
      <c r="HV139" s="116"/>
      <c r="HW139" s="116"/>
      <c r="HX139" s="116"/>
      <c r="HY139" s="116"/>
      <c r="HZ139" s="116"/>
      <c r="IA139" s="116"/>
      <c r="IB139" s="116"/>
      <c r="IC139" s="116"/>
      <c r="ID139" s="116"/>
      <c r="IE139" s="116"/>
      <c r="IF139" s="116"/>
      <c r="IG139" s="116"/>
      <c r="IH139" s="116"/>
      <c r="II139" s="116"/>
      <c r="IJ139" s="116"/>
      <c r="IK139" s="116"/>
      <c r="IL139" s="116"/>
      <c r="IM139" s="116"/>
      <c r="IN139" s="116"/>
      <c r="IO139" s="116"/>
      <c r="IP139" s="116"/>
      <c r="IQ139" s="116"/>
      <c r="IR139" s="116"/>
      <c r="IS139" s="116"/>
      <c r="IT139" s="116"/>
      <c r="IU139" s="116"/>
      <c r="IV139" s="116"/>
      <c r="IW139" s="116"/>
    </row>
    <row r="140" spans="1:257" s="35" customFormat="1" x14ac:dyDescent="0.3">
      <c r="A140" s="1"/>
      <c r="B140" s="201" t="s">
        <v>230</v>
      </c>
      <c r="C140" s="230">
        <f>+C136-(C137+C138+C139)</f>
        <v>0</v>
      </c>
      <c r="D140" s="230">
        <f>+D136-(D137+D138+D139)</f>
        <v>-7408677745.7453308</v>
      </c>
      <c r="E140" s="230">
        <f t="shared" ref="E140:G140" si="34">+E136-(E137+E138+E139)</f>
        <v>-8203809222.2106934</v>
      </c>
      <c r="F140" s="230">
        <f t="shared" si="34"/>
        <v>26781725037.967499</v>
      </c>
      <c r="G140" s="230">
        <f t="shared" si="34"/>
        <v>30139953065.888336</v>
      </c>
      <c r="H140" s="230">
        <f>+H136-(H137+H138+H139)</f>
        <v>33883813295.537292</v>
      </c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  <c r="BY140" s="130"/>
      <c r="BZ140" s="130"/>
      <c r="CA140" s="130"/>
      <c r="CB140" s="130"/>
      <c r="CC140" s="130"/>
      <c r="CD140" s="130"/>
      <c r="CE140" s="130"/>
      <c r="CF140" s="130"/>
      <c r="CG140" s="130"/>
      <c r="CH140" s="130"/>
      <c r="CI140" s="130"/>
      <c r="CJ140" s="130"/>
      <c r="CK140" s="130"/>
      <c r="CL140" s="130"/>
      <c r="CM140" s="130"/>
      <c r="CN140" s="130"/>
      <c r="CO140" s="130"/>
      <c r="CP140" s="130"/>
      <c r="CQ140" s="130"/>
      <c r="CR140" s="130"/>
      <c r="CS140" s="130"/>
      <c r="CT140" s="130"/>
      <c r="CU140" s="130"/>
      <c r="CV140" s="130"/>
      <c r="CW140" s="130"/>
      <c r="CX140" s="130"/>
      <c r="CY140" s="130"/>
      <c r="CZ140" s="130"/>
      <c r="DA140" s="130"/>
      <c r="DB140" s="130"/>
      <c r="DC140" s="130"/>
      <c r="DD140" s="130"/>
      <c r="DE140" s="130"/>
      <c r="DF140" s="130"/>
      <c r="DG140" s="130"/>
      <c r="DH140" s="130"/>
      <c r="DI140" s="130"/>
      <c r="DJ140" s="130"/>
      <c r="DK140" s="130"/>
      <c r="DL140" s="130"/>
      <c r="DM140" s="130"/>
      <c r="DN140" s="130"/>
      <c r="DO140" s="130"/>
      <c r="DP140" s="130"/>
      <c r="DQ140" s="130"/>
      <c r="DR140" s="130"/>
      <c r="DS140" s="130"/>
      <c r="DT140" s="130"/>
      <c r="DU140" s="130"/>
      <c r="DV140" s="130"/>
      <c r="DW140" s="130"/>
      <c r="DX140" s="130"/>
      <c r="DY140" s="130"/>
      <c r="DZ140" s="130"/>
      <c r="EA140" s="130"/>
      <c r="EB140" s="130"/>
      <c r="EC140" s="130"/>
      <c r="ED140" s="130"/>
      <c r="EE140" s="130"/>
      <c r="EF140" s="130"/>
      <c r="EG140" s="130"/>
      <c r="EH140" s="130"/>
      <c r="EI140" s="130"/>
      <c r="EJ140" s="130"/>
      <c r="EK140" s="130"/>
      <c r="EL140" s="130"/>
      <c r="EM140" s="130"/>
      <c r="EN140" s="130"/>
      <c r="EO140" s="130"/>
      <c r="EP140" s="130"/>
      <c r="EQ140" s="130"/>
      <c r="ER140" s="130"/>
      <c r="ES140" s="130"/>
      <c r="ET140" s="130"/>
      <c r="EU140" s="130"/>
      <c r="EV140" s="130"/>
      <c r="EW140" s="130"/>
      <c r="EX140" s="130"/>
      <c r="EY140" s="130"/>
      <c r="EZ140" s="130"/>
      <c r="FA140" s="130"/>
      <c r="FB140" s="130"/>
      <c r="FC140" s="130"/>
      <c r="FD140" s="130"/>
      <c r="FE140" s="130"/>
      <c r="FF140" s="130"/>
      <c r="FG140" s="130"/>
      <c r="FH140" s="130"/>
      <c r="FI140" s="130"/>
      <c r="FJ140" s="130"/>
      <c r="FK140" s="130"/>
      <c r="FL140" s="130"/>
      <c r="FM140" s="130"/>
      <c r="FN140" s="130"/>
      <c r="FO140" s="130"/>
      <c r="FP140" s="130"/>
      <c r="FQ140" s="130"/>
      <c r="FR140" s="130"/>
      <c r="FS140" s="130"/>
      <c r="FT140" s="130"/>
      <c r="FU140" s="130"/>
      <c r="FV140" s="130"/>
      <c r="FW140" s="130"/>
      <c r="FX140" s="130"/>
      <c r="FY140" s="130"/>
      <c r="FZ140" s="130"/>
      <c r="GA140" s="130"/>
      <c r="GB140" s="130"/>
      <c r="GC140" s="130"/>
      <c r="GD140" s="130"/>
      <c r="GE140" s="130"/>
      <c r="GF140" s="130"/>
      <c r="GG140" s="130"/>
      <c r="GH140" s="130"/>
      <c r="GI140" s="130"/>
      <c r="GJ140" s="130"/>
      <c r="GK140" s="130"/>
      <c r="GL140" s="130"/>
      <c r="GM140" s="130"/>
      <c r="GN140" s="130"/>
      <c r="GO140" s="130"/>
      <c r="GP140" s="130"/>
      <c r="GQ140" s="130"/>
      <c r="GR140" s="130"/>
      <c r="GS140" s="130"/>
      <c r="GT140" s="130"/>
      <c r="GU140" s="130"/>
      <c r="GV140" s="130"/>
      <c r="GW140" s="130"/>
      <c r="GX140" s="130"/>
      <c r="GY140" s="130"/>
      <c r="GZ140" s="130"/>
      <c r="HA140" s="130"/>
      <c r="HB140" s="130"/>
      <c r="HC140" s="130"/>
      <c r="HD140" s="130"/>
      <c r="HE140" s="130"/>
      <c r="HF140" s="130"/>
      <c r="HG140" s="130"/>
      <c r="HH140" s="130"/>
      <c r="HI140" s="130"/>
      <c r="HJ140" s="130"/>
      <c r="HK140" s="130"/>
      <c r="HL140" s="130"/>
      <c r="HM140" s="130"/>
      <c r="HN140" s="130"/>
      <c r="HO140" s="130"/>
      <c r="HP140" s="130"/>
      <c r="HQ140" s="130"/>
      <c r="HR140" s="130"/>
      <c r="HS140" s="130"/>
      <c r="HT140" s="130"/>
      <c r="HU140" s="130"/>
      <c r="HV140" s="130"/>
      <c r="HW140" s="130"/>
      <c r="HX140" s="130"/>
      <c r="HY140" s="130"/>
      <c r="HZ140" s="130"/>
      <c r="IA140" s="130"/>
      <c r="IB140" s="130"/>
      <c r="IC140" s="130"/>
      <c r="ID140" s="130"/>
      <c r="IE140" s="130"/>
      <c r="IF140" s="130"/>
      <c r="IG140" s="130"/>
      <c r="IH140" s="130"/>
      <c r="II140" s="130"/>
      <c r="IJ140" s="130"/>
      <c r="IK140" s="130"/>
      <c r="IL140" s="130"/>
      <c r="IM140" s="130"/>
      <c r="IN140" s="130"/>
      <c r="IO140" s="130"/>
      <c r="IP140" s="130"/>
      <c r="IQ140" s="130"/>
      <c r="IR140" s="130"/>
      <c r="IS140" s="130"/>
      <c r="IT140" s="130"/>
      <c r="IU140" s="130"/>
      <c r="IV140" s="130"/>
      <c r="IW140" s="130"/>
    </row>
    <row r="141" spans="1:257" s="35" customFormat="1" x14ac:dyDescent="0.3">
      <c r="A141" s="1"/>
      <c r="B141" s="141" t="s">
        <v>203</v>
      </c>
      <c r="C141" s="236"/>
      <c r="D141" s="236">
        <f t="shared" ref="D141:H142" si="35">+D103</f>
        <v>3000000</v>
      </c>
      <c r="E141" s="236">
        <f t="shared" si="35"/>
        <v>3000000</v>
      </c>
      <c r="F141" s="236">
        <f t="shared" si="35"/>
        <v>3000000</v>
      </c>
      <c r="G141" s="236">
        <f t="shared" si="35"/>
        <v>3000000</v>
      </c>
      <c r="H141" s="236">
        <f t="shared" si="35"/>
        <v>3000000</v>
      </c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  <c r="BD141" s="116"/>
      <c r="BE141" s="116"/>
      <c r="BF141" s="116"/>
      <c r="BG141" s="116"/>
      <c r="BH141" s="116"/>
      <c r="BI141" s="116"/>
      <c r="BJ141" s="116"/>
      <c r="BK141" s="116"/>
      <c r="BL141" s="116"/>
      <c r="BM141" s="116"/>
      <c r="BN141" s="116"/>
      <c r="BO141" s="116"/>
      <c r="BP141" s="116"/>
      <c r="BQ141" s="116"/>
      <c r="BR141" s="116"/>
      <c r="BS141" s="116"/>
      <c r="BT141" s="116"/>
      <c r="BU141" s="116"/>
      <c r="BV141" s="116"/>
      <c r="BW141" s="116"/>
      <c r="BX141" s="116"/>
      <c r="BY141" s="116"/>
      <c r="BZ141" s="116"/>
      <c r="CA141" s="116"/>
      <c r="CB141" s="116"/>
      <c r="CC141" s="116"/>
      <c r="CD141" s="116"/>
      <c r="CE141" s="116"/>
      <c r="CF141" s="116"/>
      <c r="CG141" s="116"/>
      <c r="CH141" s="116"/>
      <c r="CI141" s="116"/>
      <c r="CJ141" s="116"/>
      <c r="CK141" s="116"/>
      <c r="CL141" s="116"/>
      <c r="CM141" s="116"/>
      <c r="CN141" s="116"/>
      <c r="CO141" s="116"/>
      <c r="CP141" s="116"/>
      <c r="CQ141" s="116"/>
      <c r="CR141" s="116"/>
      <c r="CS141" s="116"/>
      <c r="CT141" s="116"/>
      <c r="CU141" s="116"/>
      <c r="CV141" s="116"/>
      <c r="CW141" s="116"/>
      <c r="CX141" s="116"/>
      <c r="CY141" s="116"/>
      <c r="CZ141" s="116"/>
      <c r="DA141" s="116"/>
      <c r="DB141" s="116"/>
      <c r="DC141" s="116"/>
      <c r="DD141" s="116"/>
      <c r="DE141" s="116"/>
      <c r="DF141" s="116"/>
      <c r="DG141" s="116"/>
      <c r="DH141" s="116"/>
      <c r="DI141" s="116"/>
      <c r="DJ141" s="116"/>
      <c r="DK141" s="116"/>
      <c r="DL141" s="116"/>
      <c r="DM141" s="116"/>
      <c r="DN141" s="116"/>
      <c r="DO141" s="116"/>
      <c r="DP141" s="116"/>
      <c r="DQ141" s="116"/>
      <c r="DR141" s="116"/>
      <c r="DS141" s="116"/>
      <c r="DT141" s="116"/>
      <c r="DU141" s="116"/>
      <c r="DV141" s="116"/>
      <c r="DW141" s="116"/>
      <c r="DX141" s="116"/>
      <c r="DY141" s="116"/>
      <c r="DZ141" s="116"/>
      <c r="EA141" s="116"/>
      <c r="EB141" s="116"/>
      <c r="EC141" s="116"/>
      <c r="ED141" s="116"/>
      <c r="EE141" s="116"/>
      <c r="EF141" s="116"/>
      <c r="EG141" s="116"/>
      <c r="EH141" s="116"/>
      <c r="EI141" s="116"/>
      <c r="EJ141" s="116"/>
      <c r="EK141" s="116"/>
      <c r="EL141" s="116"/>
      <c r="EM141" s="116"/>
      <c r="EN141" s="116"/>
      <c r="EO141" s="116"/>
      <c r="EP141" s="116"/>
      <c r="EQ141" s="116"/>
      <c r="ER141" s="116"/>
      <c r="ES141" s="116"/>
      <c r="ET141" s="116"/>
      <c r="EU141" s="116"/>
      <c r="EV141" s="116"/>
      <c r="EW141" s="116"/>
      <c r="EX141" s="116"/>
      <c r="EY141" s="116"/>
      <c r="EZ141" s="116"/>
      <c r="FA141" s="116"/>
      <c r="FB141" s="116"/>
      <c r="FC141" s="116"/>
      <c r="FD141" s="116"/>
      <c r="FE141" s="116"/>
      <c r="FF141" s="116"/>
      <c r="FG141" s="116"/>
      <c r="FH141" s="116"/>
      <c r="FI141" s="116"/>
      <c r="FJ141" s="116"/>
      <c r="FK141" s="116"/>
      <c r="FL141" s="116"/>
      <c r="FM141" s="116"/>
      <c r="FN141" s="116"/>
      <c r="FO141" s="116"/>
      <c r="FP141" s="116"/>
      <c r="FQ141" s="116"/>
      <c r="FR141" s="116"/>
      <c r="FS141" s="116"/>
      <c r="FT141" s="116"/>
      <c r="FU141" s="116"/>
      <c r="FV141" s="116"/>
      <c r="FW141" s="116"/>
      <c r="FX141" s="116"/>
      <c r="FY141" s="116"/>
      <c r="FZ141" s="116"/>
      <c r="GA141" s="116"/>
      <c r="GB141" s="116"/>
      <c r="GC141" s="116"/>
      <c r="GD141" s="116"/>
      <c r="GE141" s="116"/>
      <c r="GF141" s="116"/>
      <c r="GG141" s="116"/>
      <c r="GH141" s="116"/>
      <c r="GI141" s="116"/>
      <c r="GJ141" s="116"/>
      <c r="GK141" s="116"/>
      <c r="GL141" s="116"/>
      <c r="GM141" s="116"/>
      <c r="GN141" s="116"/>
      <c r="GO141" s="116"/>
      <c r="GP141" s="116"/>
      <c r="GQ141" s="116"/>
      <c r="GR141" s="116"/>
      <c r="GS141" s="116"/>
      <c r="GT141" s="116"/>
      <c r="GU141" s="116"/>
      <c r="GV141" s="116"/>
      <c r="GW141" s="116"/>
      <c r="GX141" s="116"/>
      <c r="GY141" s="116"/>
      <c r="GZ141" s="116"/>
      <c r="HA141" s="116"/>
      <c r="HB141" s="116"/>
      <c r="HC141" s="116"/>
      <c r="HD141" s="116"/>
      <c r="HE141" s="116"/>
      <c r="HF141" s="116"/>
      <c r="HG141" s="116"/>
      <c r="HH141" s="116"/>
      <c r="HI141" s="116"/>
      <c r="HJ141" s="116"/>
      <c r="HK141" s="116"/>
      <c r="HL141" s="116"/>
      <c r="HM141" s="116"/>
      <c r="HN141" s="116"/>
      <c r="HO141" s="116"/>
      <c r="HP141" s="116"/>
      <c r="HQ141" s="116"/>
      <c r="HR141" s="116"/>
      <c r="HS141" s="116"/>
      <c r="HT141" s="116"/>
      <c r="HU141" s="116"/>
      <c r="HV141" s="116"/>
      <c r="HW141" s="116"/>
      <c r="HX141" s="116"/>
      <c r="HY141" s="116"/>
      <c r="HZ141" s="116"/>
      <c r="IA141" s="116"/>
      <c r="IB141" s="116"/>
      <c r="IC141" s="116"/>
      <c r="ID141" s="116"/>
      <c r="IE141" s="116"/>
      <c r="IF141" s="116"/>
      <c r="IG141" s="116"/>
      <c r="IH141" s="116"/>
      <c r="II141" s="116"/>
      <c r="IJ141" s="116"/>
      <c r="IK141" s="116"/>
      <c r="IL141" s="116"/>
      <c r="IM141" s="116"/>
      <c r="IN141" s="116"/>
      <c r="IO141" s="116"/>
      <c r="IP141" s="116"/>
      <c r="IQ141" s="116"/>
      <c r="IR141" s="116"/>
      <c r="IS141" s="116"/>
      <c r="IT141" s="116"/>
      <c r="IU141" s="116"/>
      <c r="IV141" s="116"/>
      <c r="IW141" s="116"/>
    </row>
    <row r="142" spans="1:257" s="35" customFormat="1" x14ac:dyDescent="0.3">
      <c r="A142" s="1"/>
      <c r="B142" s="141" t="s">
        <v>204</v>
      </c>
      <c r="C142" s="236"/>
      <c r="D142" s="236">
        <f t="shared" si="35"/>
        <v>5016000</v>
      </c>
      <c r="E142" s="236">
        <f t="shared" si="35"/>
        <v>5016000</v>
      </c>
      <c r="F142" s="236">
        <f t="shared" si="35"/>
        <v>5016000</v>
      </c>
      <c r="G142" s="236">
        <f t="shared" si="35"/>
        <v>5016000</v>
      </c>
      <c r="H142" s="236">
        <f t="shared" si="35"/>
        <v>5016000</v>
      </c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  <c r="BD142" s="116"/>
      <c r="BE142" s="116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6"/>
      <c r="BQ142" s="116"/>
      <c r="BR142" s="116"/>
      <c r="BS142" s="116"/>
      <c r="BT142" s="116"/>
      <c r="BU142" s="116"/>
      <c r="BV142" s="116"/>
      <c r="BW142" s="116"/>
      <c r="BX142" s="116"/>
      <c r="BY142" s="116"/>
      <c r="BZ142" s="116"/>
      <c r="CA142" s="116"/>
      <c r="CB142" s="116"/>
      <c r="CC142" s="116"/>
      <c r="CD142" s="116"/>
      <c r="CE142" s="116"/>
      <c r="CF142" s="116"/>
      <c r="CG142" s="116"/>
      <c r="CH142" s="116"/>
      <c r="CI142" s="116"/>
      <c r="CJ142" s="116"/>
      <c r="CK142" s="116"/>
      <c r="CL142" s="116"/>
      <c r="CM142" s="116"/>
      <c r="CN142" s="116"/>
      <c r="CO142" s="116"/>
      <c r="CP142" s="116"/>
      <c r="CQ142" s="116"/>
      <c r="CR142" s="116"/>
      <c r="CS142" s="116"/>
      <c r="CT142" s="116"/>
      <c r="CU142" s="116"/>
      <c r="CV142" s="116"/>
      <c r="CW142" s="116"/>
      <c r="CX142" s="116"/>
      <c r="CY142" s="116"/>
      <c r="CZ142" s="116"/>
      <c r="DA142" s="116"/>
      <c r="DB142" s="116"/>
      <c r="DC142" s="116"/>
      <c r="DD142" s="116"/>
      <c r="DE142" s="116"/>
      <c r="DF142" s="116"/>
      <c r="DG142" s="116"/>
      <c r="DH142" s="116"/>
      <c r="DI142" s="116"/>
      <c r="DJ142" s="116"/>
      <c r="DK142" s="116"/>
      <c r="DL142" s="116"/>
      <c r="DM142" s="116"/>
      <c r="DN142" s="116"/>
      <c r="DO142" s="116"/>
      <c r="DP142" s="116"/>
      <c r="DQ142" s="116"/>
      <c r="DR142" s="116"/>
      <c r="DS142" s="116"/>
      <c r="DT142" s="116"/>
      <c r="DU142" s="116"/>
      <c r="DV142" s="116"/>
      <c r="DW142" s="116"/>
      <c r="DX142" s="116"/>
      <c r="DY142" s="116"/>
      <c r="DZ142" s="116"/>
      <c r="EA142" s="116"/>
      <c r="EB142" s="116"/>
      <c r="EC142" s="116"/>
      <c r="ED142" s="116"/>
      <c r="EE142" s="116"/>
      <c r="EF142" s="116"/>
      <c r="EG142" s="116"/>
      <c r="EH142" s="116"/>
      <c r="EI142" s="116"/>
      <c r="EJ142" s="116"/>
      <c r="EK142" s="116"/>
      <c r="EL142" s="116"/>
      <c r="EM142" s="116"/>
      <c r="EN142" s="116"/>
      <c r="EO142" s="116"/>
      <c r="EP142" s="116"/>
      <c r="EQ142" s="116"/>
      <c r="ER142" s="116"/>
      <c r="ES142" s="116"/>
      <c r="ET142" s="116"/>
      <c r="EU142" s="116"/>
      <c r="EV142" s="116"/>
      <c r="EW142" s="116"/>
      <c r="EX142" s="116"/>
      <c r="EY142" s="116"/>
      <c r="EZ142" s="116"/>
      <c r="FA142" s="116"/>
      <c r="FB142" s="116"/>
      <c r="FC142" s="116"/>
      <c r="FD142" s="116"/>
      <c r="FE142" s="116"/>
      <c r="FF142" s="116"/>
      <c r="FG142" s="116"/>
      <c r="FH142" s="116"/>
      <c r="FI142" s="116"/>
      <c r="FJ142" s="116"/>
      <c r="FK142" s="116"/>
      <c r="FL142" s="116"/>
      <c r="FM142" s="116"/>
      <c r="FN142" s="116"/>
      <c r="FO142" s="116"/>
      <c r="FP142" s="116"/>
      <c r="FQ142" s="116"/>
      <c r="FR142" s="116"/>
      <c r="FS142" s="116"/>
      <c r="FT142" s="116"/>
      <c r="FU142" s="116"/>
      <c r="FV142" s="116"/>
      <c r="FW142" s="116"/>
      <c r="FX142" s="116"/>
      <c r="FY142" s="116"/>
      <c r="FZ142" s="116"/>
      <c r="GA142" s="116"/>
      <c r="GB142" s="116"/>
      <c r="GC142" s="116"/>
      <c r="GD142" s="116"/>
      <c r="GE142" s="116"/>
      <c r="GF142" s="116"/>
      <c r="GG142" s="116"/>
      <c r="GH142" s="116"/>
      <c r="GI142" s="116"/>
      <c r="GJ142" s="116"/>
      <c r="GK142" s="116"/>
      <c r="GL142" s="116"/>
      <c r="GM142" s="116"/>
      <c r="GN142" s="116"/>
      <c r="GO142" s="116"/>
      <c r="GP142" s="116"/>
      <c r="GQ142" s="116"/>
      <c r="GR142" s="116"/>
      <c r="GS142" s="116"/>
      <c r="GT142" s="116"/>
      <c r="GU142" s="116"/>
      <c r="GV142" s="116"/>
      <c r="GW142" s="116"/>
      <c r="GX142" s="116"/>
      <c r="GY142" s="116"/>
      <c r="GZ142" s="116"/>
      <c r="HA142" s="116"/>
      <c r="HB142" s="116"/>
      <c r="HC142" s="116"/>
      <c r="HD142" s="116"/>
      <c r="HE142" s="116"/>
      <c r="HF142" s="116"/>
      <c r="HG142" s="116"/>
      <c r="HH142" s="116"/>
      <c r="HI142" s="116"/>
      <c r="HJ142" s="116"/>
      <c r="HK142" s="116"/>
      <c r="HL142" s="116"/>
      <c r="HM142" s="116"/>
      <c r="HN142" s="116"/>
      <c r="HO142" s="116"/>
      <c r="HP142" s="116"/>
      <c r="HQ142" s="116"/>
      <c r="HR142" s="116"/>
      <c r="HS142" s="116"/>
      <c r="HT142" s="116"/>
      <c r="HU142" s="116"/>
      <c r="HV142" s="116"/>
      <c r="HW142" s="116"/>
      <c r="HX142" s="116"/>
      <c r="HY142" s="116"/>
      <c r="HZ142" s="116"/>
      <c r="IA142" s="116"/>
      <c r="IB142" s="116"/>
      <c r="IC142" s="116"/>
      <c r="ID142" s="116"/>
      <c r="IE142" s="116"/>
      <c r="IF142" s="116"/>
      <c r="IG142" s="116"/>
      <c r="IH142" s="116"/>
      <c r="II142" s="116"/>
      <c r="IJ142" s="116"/>
      <c r="IK142" s="116"/>
      <c r="IL142" s="116"/>
      <c r="IM142" s="116"/>
      <c r="IN142" s="116"/>
      <c r="IO142" s="116"/>
      <c r="IP142" s="116"/>
      <c r="IQ142" s="116"/>
      <c r="IR142" s="116"/>
      <c r="IS142" s="116"/>
      <c r="IT142" s="116"/>
      <c r="IU142" s="116"/>
      <c r="IV142" s="116"/>
      <c r="IW142" s="116"/>
    </row>
    <row r="143" spans="1:257" s="35" customFormat="1" x14ac:dyDescent="0.3">
      <c r="A143" s="1"/>
      <c r="B143" s="202" t="s">
        <v>205</v>
      </c>
      <c r="C143" s="237"/>
      <c r="D143" s="237">
        <f>+D126</f>
        <v>12445000</v>
      </c>
      <c r="E143" s="237">
        <f>+D127</f>
        <v>10925361.619787194</v>
      </c>
      <c r="F143" s="237">
        <f>+D128</f>
        <v>9027485.2467394192</v>
      </c>
      <c r="G143" s="237">
        <f>+D129</f>
        <v>6657227.4444400547</v>
      </c>
      <c r="H143" s="167">
        <f>+D130</f>
        <v>3697012.4751483779</v>
      </c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  <c r="BD143" s="116"/>
      <c r="BE143" s="116"/>
      <c r="BF143" s="116"/>
      <c r="BG143" s="116"/>
      <c r="BH143" s="116"/>
      <c r="BI143" s="116"/>
      <c r="BJ143" s="116"/>
      <c r="BK143" s="116"/>
      <c r="BL143" s="116"/>
      <c r="BM143" s="116"/>
      <c r="BN143" s="116"/>
      <c r="BO143" s="116"/>
      <c r="BP143" s="116"/>
      <c r="BQ143" s="116"/>
      <c r="BR143" s="116"/>
      <c r="BS143" s="116"/>
      <c r="BT143" s="116"/>
      <c r="BU143" s="116"/>
      <c r="BV143" s="116"/>
      <c r="BW143" s="116"/>
      <c r="BX143" s="116"/>
      <c r="BY143" s="116"/>
      <c r="BZ143" s="116"/>
      <c r="CA143" s="116"/>
      <c r="CB143" s="116"/>
      <c r="CC143" s="116"/>
      <c r="CD143" s="116"/>
      <c r="CE143" s="116"/>
      <c r="CF143" s="116"/>
      <c r="CG143" s="116"/>
      <c r="CH143" s="116"/>
      <c r="CI143" s="116"/>
      <c r="CJ143" s="116"/>
      <c r="CK143" s="116"/>
      <c r="CL143" s="116"/>
      <c r="CM143" s="116"/>
      <c r="CN143" s="116"/>
      <c r="CO143" s="116"/>
      <c r="CP143" s="116"/>
      <c r="CQ143" s="116"/>
      <c r="CR143" s="116"/>
      <c r="CS143" s="116"/>
      <c r="CT143" s="116"/>
      <c r="CU143" s="116"/>
      <c r="CV143" s="116"/>
      <c r="CW143" s="116"/>
      <c r="CX143" s="116"/>
      <c r="CY143" s="116"/>
      <c r="CZ143" s="116"/>
      <c r="DA143" s="116"/>
      <c r="DB143" s="116"/>
      <c r="DC143" s="116"/>
      <c r="DD143" s="116"/>
      <c r="DE143" s="116"/>
      <c r="DF143" s="116"/>
      <c r="DG143" s="116"/>
      <c r="DH143" s="116"/>
      <c r="DI143" s="116"/>
      <c r="DJ143" s="116"/>
      <c r="DK143" s="116"/>
      <c r="DL143" s="116"/>
      <c r="DM143" s="116"/>
      <c r="DN143" s="116"/>
      <c r="DO143" s="116"/>
      <c r="DP143" s="116"/>
      <c r="DQ143" s="116"/>
      <c r="DR143" s="116"/>
      <c r="DS143" s="116"/>
      <c r="DT143" s="116"/>
      <c r="DU143" s="116"/>
      <c r="DV143" s="116"/>
      <c r="DW143" s="116"/>
      <c r="DX143" s="116"/>
      <c r="DY143" s="116"/>
      <c r="DZ143" s="116"/>
      <c r="EA143" s="116"/>
      <c r="EB143" s="116"/>
      <c r="EC143" s="116"/>
      <c r="ED143" s="116"/>
      <c r="EE143" s="116"/>
      <c r="EF143" s="116"/>
      <c r="EG143" s="116"/>
      <c r="EH143" s="116"/>
      <c r="EI143" s="116"/>
      <c r="EJ143" s="116"/>
      <c r="EK143" s="116"/>
      <c r="EL143" s="116"/>
      <c r="EM143" s="116"/>
      <c r="EN143" s="116"/>
      <c r="EO143" s="116"/>
      <c r="EP143" s="116"/>
      <c r="EQ143" s="116"/>
      <c r="ER143" s="116"/>
      <c r="ES143" s="116"/>
      <c r="ET143" s="116"/>
      <c r="EU143" s="116"/>
      <c r="EV143" s="116"/>
      <c r="EW143" s="116"/>
      <c r="EX143" s="116"/>
      <c r="EY143" s="116"/>
      <c r="EZ143" s="116"/>
      <c r="FA143" s="116"/>
      <c r="FB143" s="116"/>
      <c r="FC143" s="116"/>
      <c r="FD143" s="116"/>
      <c r="FE143" s="116"/>
      <c r="FF143" s="116"/>
      <c r="FG143" s="116"/>
      <c r="FH143" s="116"/>
      <c r="FI143" s="116"/>
      <c r="FJ143" s="116"/>
      <c r="FK143" s="116"/>
      <c r="FL143" s="116"/>
      <c r="FM143" s="116"/>
      <c r="FN143" s="116"/>
      <c r="FO143" s="116"/>
      <c r="FP143" s="116"/>
      <c r="FQ143" s="116"/>
      <c r="FR143" s="116"/>
      <c r="FS143" s="116"/>
      <c r="FT143" s="116"/>
      <c r="FU143" s="116"/>
      <c r="FV143" s="116"/>
      <c r="FW143" s="116"/>
      <c r="FX143" s="116"/>
      <c r="FY143" s="116"/>
      <c r="FZ143" s="116"/>
      <c r="GA143" s="116"/>
      <c r="GB143" s="116"/>
      <c r="GC143" s="116"/>
      <c r="GD143" s="116"/>
      <c r="GE143" s="116"/>
      <c r="GF143" s="116"/>
      <c r="GG143" s="116"/>
      <c r="GH143" s="116"/>
      <c r="GI143" s="116"/>
      <c r="GJ143" s="116"/>
      <c r="GK143" s="116"/>
      <c r="GL143" s="116"/>
      <c r="GM143" s="116"/>
      <c r="GN143" s="116"/>
      <c r="GO143" s="116"/>
      <c r="GP143" s="116"/>
      <c r="GQ143" s="116"/>
      <c r="GR143" s="116"/>
      <c r="GS143" s="116"/>
      <c r="GT143" s="116"/>
      <c r="GU143" s="116"/>
      <c r="GV143" s="116"/>
      <c r="GW143" s="116"/>
      <c r="GX143" s="116"/>
      <c r="GY143" s="116"/>
      <c r="GZ143" s="116"/>
      <c r="HA143" s="116"/>
      <c r="HB143" s="116"/>
      <c r="HC143" s="116"/>
      <c r="HD143" s="116"/>
      <c r="HE143" s="116"/>
      <c r="HF143" s="116"/>
      <c r="HG143" s="116"/>
      <c r="HH143" s="116"/>
      <c r="HI143" s="116"/>
      <c r="HJ143" s="116"/>
      <c r="HK143" s="116"/>
      <c r="HL143" s="116"/>
      <c r="HM143" s="116"/>
      <c r="HN143" s="116"/>
      <c r="HO143" s="116"/>
      <c r="HP143" s="116"/>
      <c r="HQ143" s="116"/>
      <c r="HR143" s="116"/>
      <c r="HS143" s="116"/>
      <c r="HT143" s="116"/>
      <c r="HU143" s="116"/>
      <c r="HV143" s="116"/>
      <c r="HW143" s="116"/>
      <c r="HX143" s="116"/>
      <c r="HY143" s="116"/>
      <c r="HZ143" s="116"/>
      <c r="IA143" s="116"/>
      <c r="IB143" s="116"/>
      <c r="IC143" s="116"/>
      <c r="ID143" s="116"/>
      <c r="IE143" s="116"/>
      <c r="IF143" s="116"/>
      <c r="IG143" s="116"/>
      <c r="IH143" s="116"/>
      <c r="II143" s="116"/>
      <c r="IJ143" s="116"/>
      <c r="IK143" s="116"/>
      <c r="IL143" s="116"/>
      <c r="IM143" s="116"/>
      <c r="IN143" s="116"/>
      <c r="IO143" s="116"/>
      <c r="IP143" s="116"/>
      <c r="IQ143" s="116"/>
      <c r="IR143" s="116"/>
      <c r="IS143" s="116"/>
      <c r="IT143" s="116"/>
      <c r="IU143" s="116"/>
      <c r="IV143" s="116"/>
      <c r="IW143" s="116"/>
    </row>
    <row r="144" spans="1:257" s="35" customFormat="1" x14ac:dyDescent="0.3">
      <c r="A144" s="1"/>
      <c r="B144" s="244" t="s">
        <v>231</v>
      </c>
      <c r="C144" s="238">
        <f>+C140-C141-C142-C143</f>
        <v>0</v>
      </c>
      <c r="D144" s="238">
        <f t="shared" ref="D144:H144" si="36">+D140-D141-D142-D143</f>
        <v>-7429138745.7453308</v>
      </c>
      <c r="E144" s="238">
        <f t="shared" si="36"/>
        <v>-8222750583.8304806</v>
      </c>
      <c r="F144" s="238">
        <f t="shared" si="36"/>
        <v>26764681552.72076</v>
      </c>
      <c r="G144" s="238">
        <f t="shared" si="36"/>
        <v>30125279838.443897</v>
      </c>
      <c r="H144" s="238">
        <f t="shared" si="36"/>
        <v>33872100283.062145</v>
      </c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  <c r="BD144" s="116"/>
      <c r="BE144" s="116"/>
      <c r="BF144" s="116"/>
      <c r="BG144" s="116"/>
      <c r="BH144" s="116"/>
      <c r="BI144" s="116"/>
      <c r="BJ144" s="116"/>
      <c r="BK144" s="116"/>
      <c r="BL144" s="116"/>
      <c r="BM144" s="116"/>
      <c r="BN144" s="116"/>
      <c r="BO144" s="116"/>
      <c r="BP144" s="116"/>
      <c r="BQ144" s="116"/>
      <c r="BR144" s="116"/>
      <c r="BS144" s="116"/>
      <c r="BT144" s="116"/>
      <c r="BU144" s="116"/>
      <c r="BV144" s="116"/>
      <c r="BW144" s="116"/>
      <c r="BX144" s="116"/>
      <c r="BY144" s="116"/>
      <c r="BZ144" s="116"/>
      <c r="CA144" s="116"/>
      <c r="CB144" s="116"/>
      <c r="CC144" s="116"/>
      <c r="CD144" s="116"/>
      <c r="CE144" s="116"/>
      <c r="CF144" s="116"/>
      <c r="CG144" s="116"/>
      <c r="CH144" s="116"/>
      <c r="CI144" s="116"/>
      <c r="CJ144" s="116"/>
      <c r="CK144" s="116"/>
      <c r="CL144" s="116"/>
      <c r="CM144" s="116"/>
      <c r="CN144" s="116"/>
      <c r="CO144" s="116"/>
      <c r="CP144" s="116"/>
      <c r="CQ144" s="116"/>
      <c r="CR144" s="116"/>
      <c r="CS144" s="116"/>
      <c r="CT144" s="116"/>
      <c r="CU144" s="116"/>
      <c r="CV144" s="116"/>
      <c r="CW144" s="116"/>
      <c r="CX144" s="116"/>
      <c r="CY144" s="116"/>
      <c r="CZ144" s="116"/>
      <c r="DA144" s="116"/>
      <c r="DB144" s="116"/>
      <c r="DC144" s="116"/>
      <c r="DD144" s="116"/>
      <c r="DE144" s="116"/>
      <c r="DF144" s="116"/>
      <c r="DG144" s="116"/>
      <c r="DH144" s="116"/>
      <c r="DI144" s="116"/>
      <c r="DJ144" s="116"/>
      <c r="DK144" s="116"/>
      <c r="DL144" s="116"/>
      <c r="DM144" s="116"/>
      <c r="DN144" s="116"/>
      <c r="DO144" s="116"/>
      <c r="DP144" s="116"/>
      <c r="DQ144" s="116"/>
      <c r="DR144" s="116"/>
      <c r="DS144" s="116"/>
      <c r="DT144" s="116"/>
      <c r="DU144" s="116"/>
      <c r="DV144" s="116"/>
      <c r="DW144" s="116"/>
      <c r="DX144" s="116"/>
      <c r="DY144" s="116"/>
      <c r="DZ144" s="116"/>
      <c r="EA144" s="116"/>
      <c r="EB144" s="116"/>
      <c r="EC144" s="116"/>
      <c r="ED144" s="116"/>
      <c r="EE144" s="116"/>
      <c r="EF144" s="116"/>
      <c r="EG144" s="116"/>
      <c r="EH144" s="116"/>
      <c r="EI144" s="116"/>
      <c r="EJ144" s="116"/>
      <c r="EK144" s="116"/>
      <c r="EL144" s="116"/>
      <c r="EM144" s="116"/>
      <c r="EN144" s="116"/>
      <c r="EO144" s="116"/>
      <c r="EP144" s="116"/>
      <c r="EQ144" s="116"/>
      <c r="ER144" s="116"/>
      <c r="ES144" s="116"/>
      <c r="ET144" s="116"/>
      <c r="EU144" s="116"/>
      <c r="EV144" s="116"/>
      <c r="EW144" s="116"/>
      <c r="EX144" s="116"/>
      <c r="EY144" s="116"/>
      <c r="EZ144" s="116"/>
      <c r="FA144" s="116"/>
      <c r="FB144" s="116"/>
      <c r="FC144" s="116"/>
      <c r="FD144" s="116"/>
      <c r="FE144" s="116"/>
      <c r="FF144" s="116"/>
      <c r="FG144" s="116"/>
      <c r="FH144" s="116"/>
      <c r="FI144" s="116"/>
      <c r="FJ144" s="116"/>
      <c r="FK144" s="116"/>
      <c r="FL144" s="116"/>
      <c r="FM144" s="116"/>
      <c r="FN144" s="116"/>
      <c r="FO144" s="116"/>
      <c r="FP144" s="116"/>
      <c r="FQ144" s="116"/>
      <c r="FR144" s="116"/>
      <c r="FS144" s="116"/>
      <c r="FT144" s="116"/>
      <c r="FU144" s="116"/>
      <c r="FV144" s="116"/>
      <c r="FW144" s="116"/>
      <c r="FX144" s="116"/>
      <c r="FY144" s="116"/>
      <c r="FZ144" s="116"/>
      <c r="GA144" s="116"/>
      <c r="GB144" s="116"/>
      <c r="GC144" s="116"/>
      <c r="GD144" s="116"/>
      <c r="GE144" s="116"/>
      <c r="GF144" s="116"/>
      <c r="GG144" s="116"/>
      <c r="GH144" s="116"/>
      <c r="GI144" s="116"/>
      <c r="GJ144" s="116"/>
      <c r="GK144" s="116"/>
      <c r="GL144" s="116"/>
      <c r="GM144" s="116"/>
      <c r="GN144" s="116"/>
      <c r="GO144" s="116"/>
      <c r="GP144" s="116"/>
      <c r="GQ144" s="116"/>
      <c r="GR144" s="116"/>
      <c r="GS144" s="116"/>
      <c r="GT144" s="116"/>
      <c r="GU144" s="116"/>
      <c r="GV144" s="116"/>
      <c r="GW144" s="116"/>
      <c r="GX144" s="116"/>
      <c r="GY144" s="116"/>
      <c r="GZ144" s="116"/>
      <c r="HA144" s="116"/>
      <c r="HB144" s="116"/>
      <c r="HC144" s="116"/>
      <c r="HD144" s="116"/>
      <c r="HE144" s="116"/>
      <c r="HF144" s="116"/>
      <c r="HG144" s="116"/>
      <c r="HH144" s="116"/>
      <c r="HI144" s="116"/>
      <c r="HJ144" s="116"/>
      <c r="HK144" s="116"/>
      <c r="HL144" s="116"/>
      <c r="HM144" s="116"/>
      <c r="HN144" s="116"/>
      <c r="HO144" s="116"/>
      <c r="HP144" s="116"/>
      <c r="HQ144" s="116"/>
      <c r="HR144" s="116"/>
      <c r="HS144" s="116"/>
      <c r="HT144" s="116"/>
      <c r="HU144" s="116"/>
      <c r="HV144" s="116"/>
      <c r="HW144" s="116"/>
      <c r="HX144" s="116"/>
      <c r="HY144" s="116"/>
      <c r="HZ144" s="116"/>
      <c r="IA144" s="116"/>
      <c r="IB144" s="116"/>
      <c r="IC144" s="116"/>
      <c r="ID144" s="116"/>
      <c r="IE144" s="116"/>
      <c r="IF144" s="116"/>
      <c r="IG144" s="116"/>
      <c r="IH144" s="116"/>
      <c r="II144" s="116"/>
      <c r="IJ144" s="116"/>
      <c r="IK144" s="116"/>
      <c r="IL144" s="116"/>
      <c r="IM144" s="116"/>
      <c r="IN144" s="116"/>
      <c r="IO144" s="116"/>
      <c r="IP144" s="116"/>
      <c r="IQ144" s="116"/>
      <c r="IR144" s="116"/>
      <c r="IS144" s="116"/>
      <c r="IT144" s="116"/>
      <c r="IU144" s="116"/>
      <c r="IV144" s="116"/>
      <c r="IW144" s="116"/>
    </row>
    <row r="145" spans="1:257" s="35" customFormat="1" x14ac:dyDescent="0.3">
      <c r="A145" s="1"/>
      <c r="B145" s="141" t="s">
        <v>184</v>
      </c>
      <c r="C145" s="236"/>
      <c r="D145" s="239">
        <v>0</v>
      </c>
      <c r="E145" s="239">
        <v>0</v>
      </c>
      <c r="F145" s="239">
        <f t="shared" ref="F145:H145" si="37">+F144*$C$75</f>
        <v>9367638543.4522648</v>
      </c>
      <c r="G145" s="239">
        <f t="shared" si="37"/>
        <v>10543847943.455364</v>
      </c>
      <c r="H145" s="239">
        <f t="shared" si="37"/>
        <v>11855235099.071751</v>
      </c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116"/>
      <c r="AZ145" s="116"/>
      <c r="BA145" s="116"/>
      <c r="BB145" s="116"/>
      <c r="BC145" s="116"/>
      <c r="BD145" s="116"/>
      <c r="BE145" s="116"/>
      <c r="BF145" s="116"/>
      <c r="BG145" s="116"/>
      <c r="BH145" s="116"/>
      <c r="BI145" s="116"/>
      <c r="BJ145" s="116"/>
      <c r="BK145" s="116"/>
      <c r="BL145" s="116"/>
      <c r="BM145" s="116"/>
      <c r="BN145" s="116"/>
      <c r="BO145" s="116"/>
      <c r="BP145" s="116"/>
      <c r="BQ145" s="116"/>
      <c r="BR145" s="116"/>
      <c r="BS145" s="116"/>
      <c r="BT145" s="116"/>
      <c r="BU145" s="116"/>
      <c r="BV145" s="116"/>
      <c r="BW145" s="116"/>
      <c r="BX145" s="116"/>
      <c r="BY145" s="116"/>
      <c r="BZ145" s="116"/>
      <c r="CA145" s="116"/>
      <c r="CB145" s="116"/>
      <c r="CC145" s="116"/>
      <c r="CD145" s="116"/>
      <c r="CE145" s="116"/>
      <c r="CF145" s="116"/>
      <c r="CG145" s="116"/>
      <c r="CH145" s="116"/>
      <c r="CI145" s="116"/>
      <c r="CJ145" s="116"/>
      <c r="CK145" s="116"/>
      <c r="CL145" s="116"/>
      <c r="CM145" s="116"/>
      <c r="CN145" s="116"/>
      <c r="CO145" s="116"/>
      <c r="CP145" s="116"/>
      <c r="CQ145" s="116"/>
      <c r="CR145" s="116"/>
      <c r="CS145" s="116"/>
      <c r="CT145" s="116"/>
      <c r="CU145" s="116"/>
      <c r="CV145" s="116"/>
      <c r="CW145" s="116"/>
      <c r="CX145" s="116"/>
      <c r="CY145" s="116"/>
      <c r="CZ145" s="116"/>
      <c r="DA145" s="116"/>
      <c r="DB145" s="116"/>
      <c r="DC145" s="116"/>
      <c r="DD145" s="116"/>
      <c r="DE145" s="116"/>
      <c r="DF145" s="116"/>
      <c r="DG145" s="116"/>
      <c r="DH145" s="116"/>
      <c r="DI145" s="116"/>
      <c r="DJ145" s="116"/>
      <c r="DK145" s="116"/>
      <c r="DL145" s="116"/>
      <c r="DM145" s="116"/>
      <c r="DN145" s="116"/>
      <c r="DO145" s="116"/>
      <c r="DP145" s="116"/>
      <c r="DQ145" s="116"/>
      <c r="DR145" s="116"/>
      <c r="DS145" s="116"/>
      <c r="DT145" s="116"/>
      <c r="DU145" s="116"/>
      <c r="DV145" s="116"/>
      <c r="DW145" s="116"/>
      <c r="DX145" s="116"/>
      <c r="DY145" s="116"/>
      <c r="DZ145" s="116"/>
      <c r="EA145" s="116"/>
      <c r="EB145" s="116"/>
      <c r="EC145" s="116"/>
      <c r="ED145" s="116"/>
      <c r="EE145" s="116"/>
      <c r="EF145" s="116"/>
      <c r="EG145" s="116"/>
      <c r="EH145" s="116"/>
      <c r="EI145" s="116"/>
      <c r="EJ145" s="116"/>
      <c r="EK145" s="116"/>
      <c r="EL145" s="116"/>
      <c r="EM145" s="116"/>
      <c r="EN145" s="116"/>
      <c r="EO145" s="116"/>
      <c r="EP145" s="116"/>
      <c r="EQ145" s="116"/>
      <c r="ER145" s="116"/>
      <c r="ES145" s="116"/>
      <c r="ET145" s="116"/>
      <c r="EU145" s="116"/>
      <c r="EV145" s="116"/>
      <c r="EW145" s="116"/>
      <c r="EX145" s="116"/>
      <c r="EY145" s="116"/>
      <c r="EZ145" s="116"/>
      <c r="FA145" s="116"/>
      <c r="FB145" s="116"/>
      <c r="FC145" s="116"/>
      <c r="FD145" s="116"/>
      <c r="FE145" s="116"/>
      <c r="FF145" s="116"/>
      <c r="FG145" s="116"/>
      <c r="FH145" s="116"/>
      <c r="FI145" s="116"/>
      <c r="FJ145" s="116"/>
      <c r="FK145" s="116"/>
      <c r="FL145" s="116"/>
      <c r="FM145" s="116"/>
      <c r="FN145" s="116"/>
      <c r="FO145" s="116"/>
      <c r="FP145" s="116"/>
      <c r="FQ145" s="116"/>
      <c r="FR145" s="116"/>
      <c r="FS145" s="116"/>
      <c r="FT145" s="116"/>
      <c r="FU145" s="116"/>
      <c r="FV145" s="116"/>
      <c r="FW145" s="116"/>
      <c r="FX145" s="116"/>
      <c r="FY145" s="116"/>
      <c r="FZ145" s="116"/>
      <c r="GA145" s="116"/>
      <c r="GB145" s="116"/>
      <c r="GC145" s="116"/>
      <c r="GD145" s="116"/>
      <c r="GE145" s="116"/>
      <c r="GF145" s="116"/>
      <c r="GG145" s="116"/>
      <c r="GH145" s="116"/>
      <c r="GI145" s="116"/>
      <c r="GJ145" s="116"/>
      <c r="GK145" s="116"/>
      <c r="GL145" s="116"/>
      <c r="GM145" s="116"/>
      <c r="GN145" s="116"/>
      <c r="GO145" s="116"/>
      <c r="GP145" s="116"/>
      <c r="GQ145" s="116"/>
      <c r="GR145" s="116"/>
      <c r="GS145" s="116"/>
      <c r="GT145" s="116"/>
      <c r="GU145" s="116"/>
      <c r="GV145" s="116"/>
      <c r="GW145" s="116"/>
      <c r="GX145" s="116"/>
      <c r="GY145" s="116"/>
      <c r="GZ145" s="116"/>
      <c r="HA145" s="116"/>
      <c r="HB145" s="116"/>
      <c r="HC145" s="116"/>
      <c r="HD145" s="116"/>
      <c r="HE145" s="116"/>
      <c r="HF145" s="116"/>
      <c r="HG145" s="116"/>
      <c r="HH145" s="116"/>
      <c r="HI145" s="116"/>
      <c r="HJ145" s="116"/>
      <c r="HK145" s="116"/>
      <c r="HL145" s="116"/>
      <c r="HM145" s="116"/>
      <c r="HN145" s="116"/>
      <c r="HO145" s="116"/>
      <c r="HP145" s="116"/>
      <c r="HQ145" s="116"/>
      <c r="HR145" s="116"/>
      <c r="HS145" s="116"/>
      <c r="HT145" s="116"/>
      <c r="HU145" s="116"/>
      <c r="HV145" s="116"/>
      <c r="HW145" s="116"/>
      <c r="HX145" s="116"/>
      <c r="HY145" s="116"/>
      <c r="HZ145" s="116"/>
      <c r="IA145" s="116"/>
      <c r="IB145" s="116"/>
      <c r="IC145" s="116"/>
      <c r="ID145" s="116"/>
      <c r="IE145" s="116"/>
      <c r="IF145" s="116"/>
      <c r="IG145" s="116"/>
      <c r="IH145" s="116"/>
      <c r="II145" s="116"/>
      <c r="IJ145" s="116"/>
      <c r="IK145" s="116"/>
      <c r="IL145" s="116"/>
      <c r="IM145" s="116"/>
      <c r="IN145" s="116"/>
      <c r="IO145" s="116"/>
      <c r="IP145" s="116"/>
      <c r="IQ145" s="116"/>
      <c r="IR145" s="116"/>
      <c r="IS145" s="116"/>
      <c r="IT145" s="116"/>
      <c r="IU145" s="116"/>
      <c r="IV145" s="116"/>
      <c r="IW145" s="116"/>
    </row>
    <row r="146" spans="1:257" s="35" customFormat="1" x14ac:dyDescent="0.3">
      <c r="A146" s="1"/>
      <c r="B146" s="141" t="s">
        <v>206</v>
      </c>
      <c r="C146" s="236"/>
      <c r="D146" s="167">
        <f>+D141</f>
        <v>3000000</v>
      </c>
      <c r="E146" s="167">
        <f t="shared" ref="E146:H147" si="38">+E141</f>
        <v>3000000</v>
      </c>
      <c r="F146" s="167">
        <f t="shared" si="38"/>
        <v>3000000</v>
      </c>
      <c r="G146" s="167">
        <f t="shared" si="38"/>
        <v>3000000</v>
      </c>
      <c r="H146" s="167">
        <f t="shared" si="38"/>
        <v>3000000</v>
      </c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116"/>
      <c r="AZ146" s="116"/>
      <c r="BA146" s="116"/>
      <c r="BB146" s="116"/>
      <c r="BC146" s="116"/>
      <c r="BD146" s="116"/>
      <c r="BE146" s="116"/>
      <c r="BF146" s="116"/>
      <c r="BG146" s="116"/>
      <c r="BH146" s="116"/>
      <c r="BI146" s="116"/>
      <c r="BJ146" s="116"/>
      <c r="BK146" s="116"/>
      <c r="BL146" s="116"/>
      <c r="BM146" s="116"/>
      <c r="BN146" s="116"/>
      <c r="BO146" s="116"/>
      <c r="BP146" s="116"/>
      <c r="BQ146" s="116"/>
      <c r="BR146" s="116"/>
      <c r="BS146" s="116"/>
      <c r="BT146" s="116"/>
      <c r="BU146" s="116"/>
      <c r="BV146" s="116"/>
      <c r="BW146" s="116"/>
      <c r="BX146" s="116"/>
      <c r="BY146" s="116"/>
      <c r="BZ146" s="116"/>
      <c r="CA146" s="116"/>
      <c r="CB146" s="116"/>
      <c r="CC146" s="116"/>
      <c r="CD146" s="116"/>
      <c r="CE146" s="116"/>
      <c r="CF146" s="116"/>
      <c r="CG146" s="116"/>
      <c r="CH146" s="116"/>
      <c r="CI146" s="116"/>
      <c r="CJ146" s="116"/>
      <c r="CK146" s="116"/>
      <c r="CL146" s="116"/>
      <c r="CM146" s="116"/>
      <c r="CN146" s="116"/>
      <c r="CO146" s="116"/>
      <c r="CP146" s="116"/>
      <c r="CQ146" s="116"/>
      <c r="CR146" s="116"/>
      <c r="CS146" s="116"/>
      <c r="CT146" s="116"/>
      <c r="CU146" s="116"/>
      <c r="CV146" s="116"/>
      <c r="CW146" s="116"/>
      <c r="CX146" s="116"/>
      <c r="CY146" s="116"/>
      <c r="CZ146" s="116"/>
      <c r="DA146" s="116"/>
      <c r="DB146" s="116"/>
      <c r="DC146" s="116"/>
      <c r="DD146" s="116"/>
      <c r="DE146" s="116"/>
      <c r="DF146" s="116"/>
      <c r="DG146" s="116"/>
      <c r="DH146" s="116"/>
      <c r="DI146" s="116"/>
      <c r="DJ146" s="116"/>
      <c r="DK146" s="116"/>
      <c r="DL146" s="116"/>
      <c r="DM146" s="116"/>
      <c r="DN146" s="116"/>
      <c r="DO146" s="116"/>
      <c r="DP146" s="116"/>
      <c r="DQ146" s="116"/>
      <c r="DR146" s="116"/>
      <c r="DS146" s="116"/>
      <c r="DT146" s="116"/>
      <c r="DU146" s="116"/>
      <c r="DV146" s="116"/>
      <c r="DW146" s="116"/>
      <c r="DX146" s="116"/>
      <c r="DY146" s="116"/>
      <c r="DZ146" s="116"/>
      <c r="EA146" s="116"/>
      <c r="EB146" s="116"/>
      <c r="EC146" s="116"/>
      <c r="ED146" s="116"/>
      <c r="EE146" s="116"/>
      <c r="EF146" s="116"/>
      <c r="EG146" s="116"/>
      <c r="EH146" s="116"/>
      <c r="EI146" s="116"/>
      <c r="EJ146" s="116"/>
      <c r="EK146" s="116"/>
      <c r="EL146" s="116"/>
      <c r="EM146" s="116"/>
      <c r="EN146" s="116"/>
      <c r="EO146" s="116"/>
      <c r="EP146" s="116"/>
      <c r="EQ146" s="116"/>
      <c r="ER146" s="116"/>
      <c r="ES146" s="116"/>
      <c r="ET146" s="116"/>
      <c r="EU146" s="116"/>
      <c r="EV146" s="116"/>
      <c r="EW146" s="116"/>
      <c r="EX146" s="116"/>
      <c r="EY146" s="116"/>
      <c r="EZ146" s="116"/>
      <c r="FA146" s="116"/>
      <c r="FB146" s="116"/>
      <c r="FC146" s="116"/>
      <c r="FD146" s="116"/>
      <c r="FE146" s="116"/>
      <c r="FF146" s="116"/>
      <c r="FG146" s="116"/>
      <c r="FH146" s="116"/>
      <c r="FI146" s="116"/>
      <c r="FJ146" s="116"/>
      <c r="FK146" s="116"/>
      <c r="FL146" s="116"/>
      <c r="FM146" s="116"/>
      <c r="FN146" s="116"/>
      <c r="FO146" s="116"/>
      <c r="FP146" s="116"/>
      <c r="FQ146" s="116"/>
      <c r="FR146" s="116"/>
      <c r="FS146" s="116"/>
      <c r="FT146" s="116"/>
      <c r="FU146" s="116"/>
      <c r="FV146" s="116"/>
      <c r="FW146" s="116"/>
      <c r="FX146" s="116"/>
      <c r="FY146" s="116"/>
      <c r="FZ146" s="116"/>
      <c r="GA146" s="116"/>
      <c r="GB146" s="116"/>
      <c r="GC146" s="116"/>
      <c r="GD146" s="116"/>
      <c r="GE146" s="116"/>
      <c r="GF146" s="116"/>
      <c r="GG146" s="116"/>
      <c r="GH146" s="116"/>
      <c r="GI146" s="116"/>
      <c r="GJ146" s="116"/>
      <c r="GK146" s="116"/>
      <c r="GL146" s="116"/>
      <c r="GM146" s="116"/>
      <c r="GN146" s="116"/>
      <c r="GO146" s="116"/>
      <c r="GP146" s="116"/>
      <c r="GQ146" s="116"/>
      <c r="GR146" s="116"/>
      <c r="GS146" s="116"/>
      <c r="GT146" s="116"/>
      <c r="GU146" s="116"/>
      <c r="GV146" s="116"/>
      <c r="GW146" s="116"/>
      <c r="GX146" s="116"/>
      <c r="GY146" s="116"/>
      <c r="GZ146" s="116"/>
      <c r="HA146" s="116"/>
      <c r="HB146" s="116"/>
      <c r="HC146" s="116"/>
      <c r="HD146" s="116"/>
      <c r="HE146" s="116"/>
      <c r="HF146" s="116"/>
      <c r="HG146" s="116"/>
      <c r="HH146" s="116"/>
      <c r="HI146" s="116"/>
      <c r="HJ146" s="116"/>
      <c r="HK146" s="116"/>
      <c r="HL146" s="116"/>
      <c r="HM146" s="116"/>
      <c r="HN146" s="116"/>
      <c r="HO146" s="116"/>
      <c r="HP146" s="116"/>
      <c r="HQ146" s="116"/>
      <c r="HR146" s="116"/>
      <c r="HS146" s="116"/>
      <c r="HT146" s="116"/>
      <c r="HU146" s="116"/>
      <c r="HV146" s="116"/>
      <c r="HW146" s="116"/>
      <c r="HX146" s="116"/>
      <c r="HY146" s="116"/>
      <c r="HZ146" s="116"/>
      <c r="IA146" s="116"/>
      <c r="IB146" s="116"/>
      <c r="IC146" s="116"/>
      <c r="ID146" s="116"/>
      <c r="IE146" s="116"/>
      <c r="IF146" s="116"/>
      <c r="IG146" s="116"/>
      <c r="IH146" s="116"/>
      <c r="II146" s="116"/>
      <c r="IJ146" s="116"/>
      <c r="IK146" s="116"/>
      <c r="IL146" s="116"/>
      <c r="IM146" s="116"/>
      <c r="IN146" s="116"/>
      <c r="IO146" s="116"/>
      <c r="IP146" s="116"/>
      <c r="IQ146" s="116"/>
      <c r="IR146" s="116"/>
      <c r="IS146" s="116"/>
      <c r="IT146" s="116"/>
      <c r="IU146" s="116"/>
      <c r="IV146" s="116"/>
      <c r="IW146" s="116"/>
    </row>
    <row r="147" spans="1:257" s="35" customFormat="1" x14ac:dyDescent="0.3">
      <c r="A147" s="1"/>
      <c r="B147" s="141" t="s">
        <v>207</v>
      </c>
      <c r="C147" s="236"/>
      <c r="D147" s="167">
        <f>+D142</f>
        <v>5016000</v>
      </c>
      <c r="E147" s="167">
        <f t="shared" si="38"/>
        <v>5016000</v>
      </c>
      <c r="F147" s="167">
        <f t="shared" si="38"/>
        <v>5016000</v>
      </c>
      <c r="G147" s="167">
        <f t="shared" si="38"/>
        <v>5016000</v>
      </c>
      <c r="H147" s="167">
        <f t="shared" si="38"/>
        <v>5016000</v>
      </c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116"/>
      <c r="BA147" s="116"/>
      <c r="BB147" s="116"/>
      <c r="BC147" s="116"/>
      <c r="BD147" s="116"/>
      <c r="BE147" s="116"/>
      <c r="BF147" s="116"/>
      <c r="BG147" s="116"/>
      <c r="BH147" s="116"/>
      <c r="BI147" s="116"/>
      <c r="BJ147" s="116"/>
      <c r="BK147" s="116"/>
      <c r="BL147" s="116"/>
      <c r="BM147" s="116"/>
      <c r="BN147" s="116"/>
      <c r="BO147" s="116"/>
      <c r="BP147" s="116"/>
      <c r="BQ147" s="116"/>
      <c r="BR147" s="116"/>
      <c r="BS147" s="116"/>
      <c r="BT147" s="116"/>
      <c r="BU147" s="116"/>
      <c r="BV147" s="116"/>
      <c r="BW147" s="116"/>
      <c r="BX147" s="116"/>
      <c r="BY147" s="116"/>
      <c r="BZ147" s="116"/>
      <c r="CA147" s="116"/>
      <c r="CB147" s="116"/>
      <c r="CC147" s="116"/>
      <c r="CD147" s="116"/>
      <c r="CE147" s="116"/>
      <c r="CF147" s="116"/>
      <c r="CG147" s="116"/>
      <c r="CH147" s="116"/>
      <c r="CI147" s="116"/>
      <c r="CJ147" s="116"/>
      <c r="CK147" s="116"/>
      <c r="CL147" s="116"/>
      <c r="CM147" s="116"/>
      <c r="CN147" s="116"/>
      <c r="CO147" s="116"/>
      <c r="CP147" s="116"/>
      <c r="CQ147" s="116"/>
      <c r="CR147" s="116"/>
      <c r="CS147" s="116"/>
      <c r="CT147" s="116"/>
      <c r="CU147" s="116"/>
      <c r="CV147" s="116"/>
      <c r="CW147" s="116"/>
      <c r="CX147" s="116"/>
      <c r="CY147" s="116"/>
      <c r="CZ147" s="116"/>
      <c r="DA147" s="116"/>
      <c r="DB147" s="116"/>
      <c r="DC147" s="116"/>
      <c r="DD147" s="116"/>
      <c r="DE147" s="116"/>
      <c r="DF147" s="116"/>
      <c r="DG147" s="116"/>
      <c r="DH147" s="116"/>
      <c r="DI147" s="116"/>
      <c r="DJ147" s="116"/>
      <c r="DK147" s="116"/>
      <c r="DL147" s="116"/>
      <c r="DM147" s="116"/>
      <c r="DN147" s="116"/>
      <c r="DO147" s="116"/>
      <c r="DP147" s="116"/>
      <c r="DQ147" s="116"/>
      <c r="DR147" s="116"/>
      <c r="DS147" s="116"/>
      <c r="DT147" s="116"/>
      <c r="DU147" s="116"/>
      <c r="DV147" s="116"/>
      <c r="DW147" s="116"/>
      <c r="DX147" s="116"/>
      <c r="DY147" s="116"/>
      <c r="DZ147" s="116"/>
      <c r="EA147" s="116"/>
      <c r="EB147" s="116"/>
      <c r="EC147" s="116"/>
      <c r="ED147" s="116"/>
      <c r="EE147" s="116"/>
      <c r="EF147" s="116"/>
      <c r="EG147" s="116"/>
      <c r="EH147" s="116"/>
      <c r="EI147" s="116"/>
      <c r="EJ147" s="116"/>
      <c r="EK147" s="116"/>
      <c r="EL147" s="116"/>
      <c r="EM147" s="116"/>
      <c r="EN147" s="116"/>
      <c r="EO147" s="116"/>
      <c r="EP147" s="116"/>
      <c r="EQ147" s="116"/>
      <c r="ER147" s="116"/>
      <c r="ES147" s="116"/>
      <c r="ET147" s="116"/>
      <c r="EU147" s="116"/>
      <c r="EV147" s="116"/>
      <c r="EW147" s="116"/>
      <c r="EX147" s="116"/>
      <c r="EY147" s="116"/>
      <c r="EZ147" s="116"/>
      <c r="FA147" s="116"/>
      <c r="FB147" s="116"/>
      <c r="FC147" s="116"/>
      <c r="FD147" s="116"/>
      <c r="FE147" s="116"/>
      <c r="FF147" s="116"/>
      <c r="FG147" s="116"/>
      <c r="FH147" s="116"/>
      <c r="FI147" s="116"/>
      <c r="FJ147" s="116"/>
      <c r="FK147" s="116"/>
      <c r="FL147" s="116"/>
      <c r="FM147" s="116"/>
      <c r="FN147" s="116"/>
      <c r="FO147" s="116"/>
      <c r="FP147" s="116"/>
      <c r="FQ147" s="116"/>
      <c r="FR147" s="116"/>
      <c r="FS147" s="116"/>
      <c r="FT147" s="116"/>
      <c r="FU147" s="116"/>
      <c r="FV147" s="116"/>
      <c r="FW147" s="116"/>
      <c r="FX147" s="116"/>
      <c r="FY147" s="116"/>
      <c r="FZ147" s="116"/>
      <c r="GA147" s="116"/>
      <c r="GB147" s="116"/>
      <c r="GC147" s="116"/>
      <c r="GD147" s="116"/>
      <c r="GE147" s="116"/>
      <c r="GF147" s="116"/>
      <c r="GG147" s="116"/>
      <c r="GH147" s="116"/>
      <c r="GI147" s="116"/>
      <c r="GJ147" s="116"/>
      <c r="GK147" s="116"/>
      <c r="GL147" s="116"/>
      <c r="GM147" s="116"/>
      <c r="GN147" s="116"/>
      <c r="GO147" s="116"/>
      <c r="GP147" s="116"/>
      <c r="GQ147" s="116"/>
      <c r="GR147" s="116"/>
      <c r="GS147" s="116"/>
      <c r="GT147" s="116"/>
      <c r="GU147" s="116"/>
      <c r="GV147" s="116"/>
      <c r="GW147" s="116"/>
      <c r="GX147" s="116"/>
      <c r="GY147" s="116"/>
      <c r="GZ147" s="116"/>
      <c r="HA147" s="116"/>
      <c r="HB147" s="116"/>
      <c r="HC147" s="116"/>
      <c r="HD147" s="116"/>
      <c r="HE147" s="116"/>
      <c r="HF147" s="116"/>
      <c r="HG147" s="116"/>
      <c r="HH147" s="116"/>
      <c r="HI147" s="116"/>
      <c r="HJ147" s="116"/>
      <c r="HK147" s="116"/>
      <c r="HL147" s="116"/>
      <c r="HM147" s="116"/>
      <c r="HN147" s="116"/>
      <c r="HO147" s="116"/>
      <c r="HP147" s="116"/>
      <c r="HQ147" s="116"/>
      <c r="HR147" s="116"/>
      <c r="HS147" s="116"/>
      <c r="HT147" s="116"/>
      <c r="HU147" s="116"/>
      <c r="HV147" s="116"/>
      <c r="HW147" s="116"/>
      <c r="HX147" s="116"/>
      <c r="HY147" s="116"/>
      <c r="HZ147" s="116"/>
      <c r="IA147" s="116"/>
      <c r="IB147" s="116"/>
      <c r="IC147" s="116"/>
      <c r="ID147" s="116"/>
      <c r="IE147" s="116"/>
      <c r="IF147" s="116"/>
      <c r="IG147" s="116"/>
      <c r="IH147" s="116"/>
      <c r="II147" s="116"/>
      <c r="IJ147" s="116"/>
      <c r="IK147" s="116"/>
      <c r="IL147" s="116"/>
      <c r="IM147" s="116"/>
      <c r="IN147" s="116"/>
      <c r="IO147" s="116"/>
      <c r="IP147" s="116"/>
      <c r="IQ147" s="116"/>
      <c r="IR147" s="116"/>
      <c r="IS147" s="116"/>
      <c r="IT147" s="116"/>
      <c r="IU147" s="116"/>
      <c r="IV147" s="116"/>
      <c r="IW147" s="116"/>
    </row>
    <row r="148" spans="1:257" s="35" customFormat="1" x14ac:dyDescent="0.3">
      <c r="A148" s="1"/>
      <c r="B148" s="158" t="s">
        <v>187</v>
      </c>
      <c r="C148" s="240">
        <f>+C109</f>
        <v>30705000</v>
      </c>
      <c r="D148" s="240">
        <f t="shared" ref="D148:H148" si="39">+D109</f>
        <v>0</v>
      </c>
      <c r="E148" s="240">
        <f t="shared" si="39"/>
        <v>11674218.183878249</v>
      </c>
      <c r="F148" s="240">
        <f t="shared" si="39"/>
        <v>0</v>
      </c>
      <c r="G148" s="240">
        <f t="shared" si="39"/>
        <v>0</v>
      </c>
      <c r="H148" s="240">
        <f t="shared" si="39"/>
        <v>2398226.1808879329</v>
      </c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  <c r="BD148" s="116"/>
      <c r="BE148" s="116"/>
      <c r="BF148" s="116"/>
      <c r="BG148" s="116"/>
      <c r="BH148" s="116"/>
      <c r="BI148" s="116"/>
      <c r="BJ148" s="116"/>
      <c r="BK148" s="116"/>
      <c r="BL148" s="116"/>
      <c r="BM148" s="116"/>
      <c r="BN148" s="116"/>
      <c r="BO148" s="116"/>
      <c r="BP148" s="116"/>
      <c r="BQ148" s="116"/>
      <c r="BR148" s="116"/>
      <c r="BS148" s="116"/>
      <c r="BT148" s="116"/>
      <c r="BU148" s="116"/>
      <c r="BV148" s="116"/>
      <c r="BW148" s="116"/>
      <c r="BX148" s="116"/>
      <c r="BY148" s="116"/>
      <c r="BZ148" s="116"/>
      <c r="CA148" s="116"/>
      <c r="CB148" s="116"/>
      <c r="CC148" s="116"/>
      <c r="CD148" s="116"/>
      <c r="CE148" s="116"/>
      <c r="CF148" s="116"/>
      <c r="CG148" s="116"/>
      <c r="CH148" s="116"/>
      <c r="CI148" s="116"/>
      <c r="CJ148" s="116"/>
      <c r="CK148" s="116"/>
      <c r="CL148" s="116"/>
      <c r="CM148" s="116"/>
      <c r="CN148" s="116"/>
      <c r="CO148" s="116"/>
      <c r="CP148" s="116"/>
      <c r="CQ148" s="116"/>
      <c r="CR148" s="116"/>
      <c r="CS148" s="116"/>
      <c r="CT148" s="116"/>
      <c r="CU148" s="116"/>
      <c r="CV148" s="116"/>
      <c r="CW148" s="116"/>
      <c r="CX148" s="116"/>
      <c r="CY148" s="116"/>
      <c r="CZ148" s="116"/>
      <c r="DA148" s="116"/>
      <c r="DB148" s="116"/>
      <c r="DC148" s="116"/>
      <c r="DD148" s="116"/>
      <c r="DE148" s="116"/>
      <c r="DF148" s="116"/>
      <c r="DG148" s="116"/>
      <c r="DH148" s="116"/>
      <c r="DI148" s="116"/>
      <c r="DJ148" s="116"/>
      <c r="DK148" s="116"/>
      <c r="DL148" s="116"/>
      <c r="DM148" s="116"/>
      <c r="DN148" s="116"/>
      <c r="DO148" s="116"/>
      <c r="DP148" s="116"/>
      <c r="DQ148" s="116"/>
      <c r="DR148" s="116"/>
      <c r="DS148" s="116"/>
      <c r="DT148" s="116"/>
      <c r="DU148" s="116"/>
      <c r="DV148" s="116"/>
      <c r="DW148" s="116"/>
      <c r="DX148" s="116"/>
      <c r="DY148" s="116"/>
      <c r="DZ148" s="116"/>
      <c r="EA148" s="116"/>
      <c r="EB148" s="116"/>
      <c r="EC148" s="116"/>
      <c r="ED148" s="116"/>
      <c r="EE148" s="116"/>
      <c r="EF148" s="116"/>
      <c r="EG148" s="116"/>
      <c r="EH148" s="116"/>
      <c r="EI148" s="116"/>
      <c r="EJ148" s="116"/>
      <c r="EK148" s="116"/>
      <c r="EL148" s="116"/>
      <c r="EM148" s="116"/>
      <c r="EN148" s="116"/>
      <c r="EO148" s="116"/>
      <c r="EP148" s="116"/>
      <c r="EQ148" s="116"/>
      <c r="ER148" s="116"/>
      <c r="ES148" s="116"/>
      <c r="ET148" s="116"/>
      <c r="EU148" s="116"/>
      <c r="EV148" s="116"/>
      <c r="EW148" s="116"/>
      <c r="EX148" s="116"/>
      <c r="EY148" s="116"/>
      <c r="EZ148" s="116"/>
      <c r="FA148" s="116"/>
      <c r="FB148" s="116"/>
      <c r="FC148" s="116"/>
      <c r="FD148" s="116"/>
      <c r="FE148" s="116"/>
      <c r="FF148" s="116"/>
      <c r="FG148" s="116"/>
      <c r="FH148" s="116"/>
      <c r="FI148" s="116"/>
      <c r="FJ148" s="116"/>
      <c r="FK148" s="116"/>
      <c r="FL148" s="116"/>
      <c r="FM148" s="116"/>
      <c r="FN148" s="116"/>
      <c r="FO148" s="116"/>
      <c r="FP148" s="116"/>
      <c r="FQ148" s="116"/>
      <c r="FR148" s="116"/>
      <c r="FS148" s="116"/>
      <c r="FT148" s="116"/>
      <c r="FU148" s="116"/>
      <c r="FV148" s="116"/>
      <c r="FW148" s="116"/>
      <c r="FX148" s="116"/>
      <c r="FY148" s="116"/>
      <c r="FZ148" s="116"/>
      <c r="GA148" s="116"/>
      <c r="GB148" s="116"/>
      <c r="GC148" s="116"/>
      <c r="GD148" s="116"/>
      <c r="GE148" s="116"/>
      <c r="GF148" s="116"/>
      <c r="GG148" s="116"/>
      <c r="GH148" s="116"/>
      <c r="GI148" s="116"/>
      <c r="GJ148" s="116"/>
      <c r="GK148" s="116"/>
      <c r="GL148" s="116"/>
      <c r="GM148" s="116"/>
      <c r="GN148" s="116"/>
      <c r="GO148" s="116"/>
      <c r="GP148" s="116"/>
      <c r="GQ148" s="116"/>
      <c r="GR148" s="116"/>
      <c r="GS148" s="116"/>
      <c r="GT148" s="116"/>
      <c r="GU148" s="116"/>
      <c r="GV148" s="116"/>
      <c r="GW148" s="116"/>
      <c r="GX148" s="116"/>
      <c r="GY148" s="116"/>
      <c r="GZ148" s="116"/>
      <c r="HA148" s="116"/>
      <c r="HB148" s="116"/>
      <c r="HC148" s="116"/>
      <c r="HD148" s="116"/>
      <c r="HE148" s="116"/>
      <c r="HF148" s="116"/>
      <c r="HG148" s="116"/>
      <c r="HH148" s="116"/>
      <c r="HI148" s="116"/>
      <c r="HJ148" s="116"/>
      <c r="HK148" s="116"/>
      <c r="HL148" s="116"/>
      <c r="HM148" s="116"/>
      <c r="HN148" s="116"/>
      <c r="HO148" s="116"/>
      <c r="HP148" s="116"/>
      <c r="HQ148" s="116"/>
      <c r="HR148" s="116"/>
      <c r="HS148" s="116"/>
      <c r="HT148" s="116"/>
      <c r="HU148" s="116"/>
      <c r="HV148" s="116"/>
      <c r="HW148" s="116"/>
      <c r="HX148" s="116"/>
      <c r="HY148" s="116"/>
      <c r="HZ148" s="116"/>
      <c r="IA148" s="116"/>
      <c r="IB148" s="116"/>
      <c r="IC148" s="116"/>
      <c r="ID148" s="116"/>
      <c r="IE148" s="116"/>
      <c r="IF148" s="116"/>
      <c r="IG148" s="116"/>
      <c r="IH148" s="116"/>
      <c r="II148" s="116"/>
      <c r="IJ148" s="116"/>
      <c r="IK148" s="116"/>
      <c r="IL148" s="116"/>
      <c r="IM148" s="116"/>
      <c r="IN148" s="116"/>
      <c r="IO148" s="116"/>
      <c r="IP148" s="116"/>
      <c r="IQ148" s="116"/>
      <c r="IR148" s="116"/>
      <c r="IS148" s="116"/>
      <c r="IT148" s="116"/>
      <c r="IU148" s="116"/>
      <c r="IV148" s="116"/>
      <c r="IW148" s="116"/>
    </row>
    <row r="149" spans="1:257" s="35" customFormat="1" x14ac:dyDescent="0.3">
      <c r="A149" s="1"/>
      <c r="B149" s="158" t="s">
        <v>188</v>
      </c>
      <c r="C149" s="240">
        <f t="shared" ref="C149:H151" si="40">+C110</f>
        <v>40000000</v>
      </c>
      <c r="D149" s="240">
        <f t="shared" si="40"/>
        <v>0</v>
      </c>
      <c r="E149" s="240">
        <f t="shared" si="40"/>
        <v>0</v>
      </c>
      <c r="F149" s="240">
        <f t="shared" si="40"/>
        <v>0</v>
      </c>
      <c r="G149" s="240">
        <f t="shared" si="40"/>
        <v>0</v>
      </c>
      <c r="H149" s="240">
        <f t="shared" si="40"/>
        <v>0</v>
      </c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  <c r="BR149" s="116"/>
      <c r="BS149" s="116"/>
      <c r="BT149" s="116"/>
      <c r="BU149" s="116"/>
      <c r="BV149" s="116"/>
      <c r="BW149" s="116"/>
      <c r="BX149" s="116"/>
      <c r="BY149" s="116"/>
      <c r="BZ149" s="116"/>
      <c r="CA149" s="116"/>
      <c r="CB149" s="116"/>
      <c r="CC149" s="116"/>
      <c r="CD149" s="116"/>
      <c r="CE149" s="116"/>
      <c r="CF149" s="116"/>
      <c r="CG149" s="116"/>
      <c r="CH149" s="116"/>
      <c r="CI149" s="116"/>
      <c r="CJ149" s="116"/>
      <c r="CK149" s="116"/>
      <c r="CL149" s="116"/>
      <c r="CM149" s="116"/>
      <c r="CN149" s="116"/>
      <c r="CO149" s="116"/>
      <c r="CP149" s="116"/>
      <c r="CQ149" s="116"/>
      <c r="CR149" s="116"/>
      <c r="CS149" s="116"/>
      <c r="CT149" s="116"/>
      <c r="CU149" s="116"/>
      <c r="CV149" s="116"/>
      <c r="CW149" s="116"/>
      <c r="CX149" s="116"/>
      <c r="CY149" s="116"/>
      <c r="CZ149" s="116"/>
      <c r="DA149" s="116"/>
      <c r="DB149" s="116"/>
      <c r="DC149" s="116"/>
      <c r="DD149" s="116"/>
      <c r="DE149" s="116"/>
      <c r="DF149" s="116"/>
      <c r="DG149" s="116"/>
      <c r="DH149" s="116"/>
      <c r="DI149" s="116"/>
      <c r="DJ149" s="116"/>
      <c r="DK149" s="116"/>
      <c r="DL149" s="116"/>
      <c r="DM149" s="116"/>
      <c r="DN149" s="116"/>
      <c r="DO149" s="116"/>
      <c r="DP149" s="116"/>
      <c r="DQ149" s="116"/>
      <c r="DR149" s="116"/>
      <c r="DS149" s="116"/>
      <c r="DT149" s="116"/>
      <c r="DU149" s="116"/>
      <c r="DV149" s="116"/>
      <c r="DW149" s="116"/>
      <c r="DX149" s="116"/>
      <c r="DY149" s="116"/>
      <c r="DZ149" s="116"/>
      <c r="EA149" s="116"/>
      <c r="EB149" s="116"/>
      <c r="EC149" s="116"/>
      <c r="ED149" s="116"/>
      <c r="EE149" s="116"/>
      <c r="EF149" s="116"/>
      <c r="EG149" s="116"/>
      <c r="EH149" s="116"/>
      <c r="EI149" s="116"/>
      <c r="EJ149" s="116"/>
      <c r="EK149" s="116"/>
      <c r="EL149" s="116"/>
      <c r="EM149" s="116"/>
      <c r="EN149" s="116"/>
      <c r="EO149" s="116"/>
      <c r="EP149" s="116"/>
      <c r="EQ149" s="116"/>
      <c r="ER149" s="116"/>
      <c r="ES149" s="116"/>
      <c r="ET149" s="116"/>
      <c r="EU149" s="116"/>
      <c r="EV149" s="116"/>
      <c r="EW149" s="116"/>
      <c r="EX149" s="116"/>
      <c r="EY149" s="116"/>
      <c r="EZ149" s="116"/>
      <c r="FA149" s="116"/>
      <c r="FB149" s="116"/>
      <c r="FC149" s="116"/>
      <c r="FD149" s="116"/>
      <c r="FE149" s="116"/>
      <c r="FF149" s="116"/>
      <c r="FG149" s="116"/>
      <c r="FH149" s="116"/>
      <c r="FI149" s="116"/>
      <c r="FJ149" s="116"/>
      <c r="FK149" s="116"/>
      <c r="FL149" s="116"/>
      <c r="FM149" s="116"/>
      <c r="FN149" s="116"/>
      <c r="FO149" s="116"/>
      <c r="FP149" s="116"/>
      <c r="FQ149" s="116"/>
      <c r="FR149" s="116"/>
      <c r="FS149" s="116"/>
      <c r="FT149" s="116"/>
      <c r="FU149" s="116"/>
      <c r="FV149" s="116"/>
      <c r="FW149" s="116"/>
      <c r="FX149" s="116"/>
      <c r="FY149" s="116"/>
      <c r="FZ149" s="116"/>
      <c r="GA149" s="116"/>
      <c r="GB149" s="116"/>
      <c r="GC149" s="116"/>
      <c r="GD149" s="116"/>
      <c r="GE149" s="116"/>
      <c r="GF149" s="116"/>
      <c r="GG149" s="116"/>
      <c r="GH149" s="116"/>
      <c r="GI149" s="116"/>
      <c r="GJ149" s="116"/>
      <c r="GK149" s="116"/>
      <c r="GL149" s="116"/>
      <c r="GM149" s="116"/>
      <c r="GN149" s="116"/>
      <c r="GO149" s="116"/>
      <c r="GP149" s="116"/>
      <c r="GQ149" s="116"/>
      <c r="GR149" s="116"/>
      <c r="GS149" s="116"/>
      <c r="GT149" s="116"/>
      <c r="GU149" s="116"/>
      <c r="GV149" s="116"/>
      <c r="GW149" s="116"/>
      <c r="GX149" s="116"/>
      <c r="GY149" s="116"/>
      <c r="GZ149" s="116"/>
      <c r="HA149" s="116"/>
      <c r="HB149" s="116"/>
      <c r="HC149" s="116"/>
      <c r="HD149" s="116"/>
      <c r="HE149" s="116"/>
      <c r="HF149" s="116"/>
      <c r="HG149" s="116"/>
      <c r="HH149" s="116"/>
      <c r="HI149" s="116"/>
      <c r="HJ149" s="116"/>
      <c r="HK149" s="116"/>
      <c r="HL149" s="116"/>
      <c r="HM149" s="116"/>
      <c r="HN149" s="116"/>
      <c r="HO149" s="116"/>
      <c r="HP149" s="116"/>
      <c r="HQ149" s="116"/>
      <c r="HR149" s="116"/>
      <c r="HS149" s="116"/>
      <c r="HT149" s="116"/>
      <c r="HU149" s="116"/>
      <c r="HV149" s="116"/>
      <c r="HW149" s="116"/>
      <c r="HX149" s="116"/>
      <c r="HY149" s="116"/>
      <c r="HZ149" s="116"/>
      <c r="IA149" s="116"/>
      <c r="IB149" s="116"/>
      <c r="IC149" s="116"/>
      <c r="ID149" s="116"/>
      <c r="IE149" s="116"/>
      <c r="IF149" s="116"/>
      <c r="IG149" s="116"/>
      <c r="IH149" s="116"/>
      <c r="II149" s="116"/>
      <c r="IJ149" s="116"/>
      <c r="IK149" s="116"/>
      <c r="IL149" s="116"/>
      <c r="IM149" s="116"/>
      <c r="IN149" s="116"/>
      <c r="IO149" s="116"/>
      <c r="IP149" s="116"/>
      <c r="IQ149" s="116"/>
      <c r="IR149" s="116"/>
      <c r="IS149" s="116"/>
      <c r="IT149" s="116"/>
      <c r="IU149" s="116"/>
      <c r="IV149" s="116"/>
      <c r="IW149" s="116"/>
    </row>
    <row r="150" spans="1:257" s="35" customFormat="1" x14ac:dyDescent="0.3">
      <c r="A150" s="1"/>
      <c r="B150" s="158" t="s">
        <v>189</v>
      </c>
      <c r="C150" s="240">
        <f t="shared" si="40"/>
        <v>0</v>
      </c>
      <c r="D150" s="240">
        <f t="shared" si="40"/>
        <v>0</v>
      </c>
      <c r="E150" s="240">
        <f t="shared" si="40"/>
        <v>0</v>
      </c>
      <c r="F150" s="240">
        <f t="shared" si="40"/>
        <v>0</v>
      </c>
      <c r="G150" s="240">
        <f t="shared" si="40"/>
        <v>0</v>
      </c>
      <c r="H150" s="240">
        <f t="shared" si="40"/>
        <v>0</v>
      </c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  <c r="AX150" s="116"/>
      <c r="AY150" s="116"/>
      <c r="AZ150" s="116"/>
      <c r="BA150" s="116"/>
      <c r="BB150" s="116"/>
      <c r="BC150" s="116"/>
      <c r="BD150" s="116"/>
      <c r="BE150" s="116"/>
      <c r="BF150" s="116"/>
      <c r="BG150" s="116"/>
      <c r="BH150" s="116"/>
      <c r="BI150" s="116"/>
      <c r="BJ150" s="116"/>
      <c r="BK150" s="116"/>
      <c r="BL150" s="116"/>
      <c r="BM150" s="116"/>
      <c r="BN150" s="116"/>
      <c r="BO150" s="116"/>
      <c r="BP150" s="116"/>
      <c r="BQ150" s="116"/>
      <c r="BR150" s="116"/>
      <c r="BS150" s="116"/>
      <c r="BT150" s="116"/>
      <c r="BU150" s="116"/>
      <c r="BV150" s="116"/>
      <c r="BW150" s="116"/>
      <c r="BX150" s="116"/>
      <c r="BY150" s="116"/>
      <c r="BZ150" s="116"/>
      <c r="CA150" s="116"/>
      <c r="CB150" s="116"/>
      <c r="CC150" s="116"/>
      <c r="CD150" s="116"/>
      <c r="CE150" s="116"/>
      <c r="CF150" s="116"/>
      <c r="CG150" s="116"/>
      <c r="CH150" s="116"/>
      <c r="CI150" s="116"/>
      <c r="CJ150" s="116"/>
      <c r="CK150" s="116"/>
      <c r="CL150" s="116"/>
      <c r="CM150" s="116"/>
      <c r="CN150" s="116"/>
      <c r="CO150" s="116"/>
      <c r="CP150" s="116"/>
      <c r="CQ150" s="116"/>
      <c r="CR150" s="116"/>
      <c r="CS150" s="116"/>
      <c r="CT150" s="116"/>
      <c r="CU150" s="116"/>
      <c r="CV150" s="116"/>
      <c r="CW150" s="116"/>
      <c r="CX150" s="116"/>
      <c r="CY150" s="116"/>
      <c r="CZ150" s="116"/>
      <c r="DA150" s="116"/>
      <c r="DB150" s="116"/>
      <c r="DC150" s="116"/>
      <c r="DD150" s="116"/>
      <c r="DE150" s="116"/>
      <c r="DF150" s="116"/>
      <c r="DG150" s="116"/>
      <c r="DH150" s="116"/>
      <c r="DI150" s="116"/>
      <c r="DJ150" s="116"/>
      <c r="DK150" s="116"/>
      <c r="DL150" s="116"/>
      <c r="DM150" s="116"/>
      <c r="DN150" s="116"/>
      <c r="DO150" s="116"/>
      <c r="DP150" s="116"/>
      <c r="DQ150" s="116"/>
      <c r="DR150" s="116"/>
      <c r="DS150" s="116"/>
      <c r="DT150" s="116"/>
      <c r="DU150" s="116"/>
      <c r="DV150" s="116"/>
      <c r="DW150" s="116"/>
      <c r="DX150" s="116"/>
      <c r="DY150" s="116"/>
      <c r="DZ150" s="116"/>
      <c r="EA150" s="116"/>
      <c r="EB150" s="116"/>
      <c r="EC150" s="116"/>
      <c r="ED150" s="116"/>
      <c r="EE150" s="116"/>
      <c r="EF150" s="116"/>
      <c r="EG150" s="116"/>
      <c r="EH150" s="116"/>
      <c r="EI150" s="116"/>
      <c r="EJ150" s="116"/>
      <c r="EK150" s="116"/>
      <c r="EL150" s="116"/>
      <c r="EM150" s="116"/>
      <c r="EN150" s="116"/>
      <c r="EO150" s="116"/>
      <c r="EP150" s="116"/>
      <c r="EQ150" s="116"/>
      <c r="ER150" s="116"/>
      <c r="ES150" s="116"/>
      <c r="ET150" s="116"/>
      <c r="EU150" s="116"/>
      <c r="EV150" s="116"/>
      <c r="EW150" s="116"/>
      <c r="EX150" s="116"/>
      <c r="EY150" s="116"/>
      <c r="EZ150" s="116"/>
      <c r="FA150" s="116"/>
      <c r="FB150" s="116"/>
      <c r="FC150" s="116"/>
      <c r="FD150" s="116"/>
      <c r="FE150" s="116"/>
      <c r="FF150" s="116"/>
      <c r="FG150" s="116"/>
      <c r="FH150" s="116"/>
      <c r="FI150" s="116"/>
      <c r="FJ150" s="116"/>
      <c r="FK150" s="116"/>
      <c r="FL150" s="116"/>
      <c r="FM150" s="116"/>
      <c r="FN150" s="116"/>
      <c r="FO150" s="116"/>
      <c r="FP150" s="116"/>
      <c r="FQ150" s="116"/>
      <c r="FR150" s="116"/>
      <c r="FS150" s="116"/>
      <c r="FT150" s="116"/>
      <c r="FU150" s="116"/>
      <c r="FV150" s="116"/>
      <c r="FW150" s="116"/>
      <c r="FX150" s="116"/>
      <c r="FY150" s="116"/>
      <c r="FZ150" s="116"/>
      <c r="GA150" s="116"/>
      <c r="GB150" s="116"/>
      <c r="GC150" s="116"/>
      <c r="GD150" s="116"/>
      <c r="GE150" s="116"/>
      <c r="GF150" s="116"/>
      <c r="GG150" s="116"/>
      <c r="GH150" s="116"/>
      <c r="GI150" s="116"/>
      <c r="GJ150" s="116"/>
      <c r="GK150" s="116"/>
      <c r="GL150" s="116"/>
      <c r="GM150" s="116"/>
      <c r="GN150" s="116"/>
      <c r="GO150" s="116"/>
      <c r="GP150" s="116"/>
      <c r="GQ150" s="116"/>
      <c r="GR150" s="116"/>
      <c r="GS150" s="116"/>
      <c r="GT150" s="116"/>
      <c r="GU150" s="116"/>
      <c r="GV150" s="116"/>
      <c r="GW150" s="116"/>
      <c r="GX150" s="116"/>
      <c r="GY150" s="116"/>
      <c r="GZ150" s="116"/>
      <c r="HA150" s="116"/>
      <c r="HB150" s="116"/>
      <c r="HC150" s="116"/>
      <c r="HD150" s="116"/>
      <c r="HE150" s="116"/>
      <c r="HF150" s="116"/>
      <c r="HG150" s="116"/>
      <c r="HH150" s="116"/>
      <c r="HI150" s="116"/>
      <c r="HJ150" s="116"/>
      <c r="HK150" s="116"/>
      <c r="HL150" s="116"/>
      <c r="HM150" s="116"/>
      <c r="HN150" s="116"/>
      <c r="HO150" s="116"/>
      <c r="HP150" s="116"/>
      <c r="HQ150" s="116"/>
      <c r="HR150" s="116"/>
      <c r="HS150" s="116"/>
      <c r="HT150" s="116"/>
      <c r="HU150" s="116"/>
      <c r="HV150" s="116"/>
      <c r="HW150" s="116"/>
      <c r="HX150" s="116"/>
      <c r="HY150" s="116"/>
      <c r="HZ150" s="116"/>
      <c r="IA150" s="116"/>
      <c r="IB150" s="116"/>
      <c r="IC150" s="116"/>
      <c r="ID150" s="116"/>
      <c r="IE150" s="116"/>
      <c r="IF150" s="116"/>
      <c r="IG150" s="116"/>
      <c r="IH150" s="116"/>
      <c r="II150" s="116"/>
      <c r="IJ150" s="116"/>
      <c r="IK150" s="116"/>
      <c r="IL150" s="116"/>
      <c r="IM150" s="116"/>
      <c r="IN150" s="116"/>
      <c r="IO150" s="116"/>
      <c r="IP150" s="116"/>
      <c r="IQ150" s="116"/>
      <c r="IR150" s="116"/>
      <c r="IS150" s="116"/>
      <c r="IT150" s="116"/>
      <c r="IU150" s="116"/>
      <c r="IV150" s="116"/>
      <c r="IW150" s="116"/>
    </row>
    <row r="151" spans="1:257" s="35" customFormat="1" x14ac:dyDescent="0.3">
      <c r="A151" s="1"/>
      <c r="B151" s="158" t="s">
        <v>208</v>
      </c>
      <c r="C151" s="240">
        <f t="shared" si="40"/>
        <v>0</v>
      </c>
      <c r="D151" s="240">
        <f t="shared" si="40"/>
        <v>9426013316.5295601</v>
      </c>
      <c r="E151" s="240">
        <f t="shared" si="40"/>
        <v>968283302.43560219</v>
      </c>
      <c r="F151" s="240">
        <f t="shared" si="40"/>
        <v>1219966080.0382061</v>
      </c>
      <c r="G151" s="240">
        <f t="shared" si="40"/>
        <v>1208294085.2667618</v>
      </c>
      <c r="H151" s="240">
        <f t="shared" si="40"/>
        <v>1333269502.1509628</v>
      </c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  <c r="AT151" s="116"/>
      <c r="AU151" s="116"/>
      <c r="AV151" s="116"/>
      <c r="AW151" s="116"/>
      <c r="AX151" s="116"/>
      <c r="AY151" s="116"/>
      <c r="AZ151" s="116"/>
      <c r="BA151" s="116"/>
      <c r="BB151" s="116"/>
      <c r="BC151" s="116"/>
      <c r="BD151" s="116"/>
      <c r="BE151" s="116"/>
      <c r="BF151" s="116"/>
      <c r="BG151" s="116"/>
      <c r="BH151" s="116"/>
      <c r="BI151" s="116"/>
      <c r="BJ151" s="116"/>
      <c r="BK151" s="116"/>
      <c r="BL151" s="116"/>
      <c r="BM151" s="116"/>
      <c r="BN151" s="116"/>
      <c r="BO151" s="116"/>
      <c r="BP151" s="116"/>
      <c r="BQ151" s="116"/>
      <c r="BR151" s="116"/>
      <c r="BS151" s="116"/>
      <c r="BT151" s="116"/>
      <c r="BU151" s="116"/>
      <c r="BV151" s="116"/>
      <c r="BW151" s="116"/>
      <c r="BX151" s="116"/>
      <c r="BY151" s="116"/>
      <c r="BZ151" s="116"/>
      <c r="CA151" s="116"/>
      <c r="CB151" s="116"/>
      <c r="CC151" s="116"/>
      <c r="CD151" s="116"/>
      <c r="CE151" s="116"/>
      <c r="CF151" s="116"/>
      <c r="CG151" s="116"/>
      <c r="CH151" s="116"/>
      <c r="CI151" s="116"/>
      <c r="CJ151" s="116"/>
      <c r="CK151" s="116"/>
      <c r="CL151" s="116"/>
      <c r="CM151" s="116"/>
      <c r="CN151" s="116"/>
      <c r="CO151" s="116"/>
      <c r="CP151" s="116"/>
      <c r="CQ151" s="116"/>
      <c r="CR151" s="116"/>
      <c r="CS151" s="116"/>
      <c r="CT151" s="116"/>
      <c r="CU151" s="116"/>
      <c r="CV151" s="116"/>
      <c r="CW151" s="116"/>
      <c r="CX151" s="116"/>
      <c r="CY151" s="116"/>
      <c r="CZ151" s="116"/>
      <c r="DA151" s="116"/>
      <c r="DB151" s="116"/>
      <c r="DC151" s="116"/>
      <c r="DD151" s="116"/>
      <c r="DE151" s="116"/>
      <c r="DF151" s="116"/>
      <c r="DG151" s="116"/>
      <c r="DH151" s="116"/>
      <c r="DI151" s="116"/>
      <c r="DJ151" s="116"/>
      <c r="DK151" s="116"/>
      <c r="DL151" s="116"/>
      <c r="DM151" s="116"/>
      <c r="DN151" s="116"/>
      <c r="DO151" s="116"/>
      <c r="DP151" s="116"/>
      <c r="DQ151" s="116"/>
      <c r="DR151" s="116"/>
      <c r="DS151" s="116"/>
      <c r="DT151" s="116"/>
      <c r="DU151" s="116"/>
      <c r="DV151" s="116"/>
      <c r="DW151" s="116"/>
      <c r="DX151" s="116"/>
      <c r="DY151" s="116"/>
      <c r="DZ151" s="116"/>
      <c r="EA151" s="116"/>
      <c r="EB151" s="116"/>
      <c r="EC151" s="116"/>
      <c r="ED151" s="116"/>
      <c r="EE151" s="116"/>
      <c r="EF151" s="116"/>
      <c r="EG151" s="116"/>
      <c r="EH151" s="116"/>
      <c r="EI151" s="116"/>
      <c r="EJ151" s="116"/>
      <c r="EK151" s="116"/>
      <c r="EL151" s="116"/>
      <c r="EM151" s="116"/>
      <c r="EN151" s="116"/>
      <c r="EO151" s="116"/>
      <c r="EP151" s="116"/>
      <c r="EQ151" s="116"/>
      <c r="ER151" s="116"/>
      <c r="ES151" s="116"/>
      <c r="ET151" s="116"/>
      <c r="EU151" s="116"/>
      <c r="EV151" s="116"/>
      <c r="EW151" s="116"/>
      <c r="EX151" s="116"/>
      <c r="EY151" s="116"/>
      <c r="EZ151" s="116"/>
      <c r="FA151" s="116"/>
      <c r="FB151" s="116"/>
      <c r="FC151" s="116"/>
      <c r="FD151" s="116"/>
      <c r="FE151" s="116"/>
      <c r="FF151" s="116"/>
      <c r="FG151" s="116"/>
      <c r="FH151" s="116"/>
      <c r="FI151" s="116"/>
      <c r="FJ151" s="116"/>
      <c r="FK151" s="116"/>
      <c r="FL151" s="116"/>
      <c r="FM151" s="116"/>
      <c r="FN151" s="116"/>
      <c r="FO151" s="116"/>
      <c r="FP151" s="116"/>
      <c r="FQ151" s="116"/>
      <c r="FR151" s="116"/>
      <c r="FS151" s="116"/>
      <c r="FT151" s="116"/>
      <c r="FU151" s="116"/>
      <c r="FV151" s="116"/>
      <c r="FW151" s="116"/>
      <c r="FX151" s="116"/>
      <c r="FY151" s="116"/>
      <c r="FZ151" s="116"/>
      <c r="GA151" s="116"/>
      <c r="GB151" s="116"/>
      <c r="GC151" s="116"/>
      <c r="GD151" s="116"/>
      <c r="GE151" s="116"/>
      <c r="GF151" s="116"/>
      <c r="GG151" s="116"/>
      <c r="GH151" s="116"/>
      <c r="GI151" s="116"/>
      <c r="GJ151" s="116"/>
      <c r="GK151" s="116"/>
      <c r="GL151" s="116"/>
      <c r="GM151" s="116"/>
      <c r="GN151" s="116"/>
      <c r="GO151" s="116"/>
      <c r="GP151" s="116"/>
      <c r="GQ151" s="116"/>
      <c r="GR151" s="116"/>
      <c r="GS151" s="116"/>
      <c r="GT151" s="116"/>
      <c r="GU151" s="116"/>
      <c r="GV151" s="116"/>
      <c r="GW151" s="116"/>
      <c r="GX151" s="116"/>
      <c r="GY151" s="116"/>
      <c r="GZ151" s="116"/>
      <c r="HA151" s="116"/>
      <c r="HB151" s="116"/>
      <c r="HC151" s="116"/>
      <c r="HD151" s="116"/>
      <c r="HE151" s="116"/>
      <c r="HF151" s="116"/>
      <c r="HG151" s="116"/>
      <c r="HH151" s="116"/>
      <c r="HI151" s="116"/>
      <c r="HJ151" s="116"/>
      <c r="HK151" s="116"/>
      <c r="HL151" s="116"/>
      <c r="HM151" s="116"/>
      <c r="HN151" s="116"/>
      <c r="HO151" s="116"/>
      <c r="HP151" s="116"/>
      <c r="HQ151" s="116"/>
      <c r="HR151" s="116"/>
      <c r="HS151" s="116"/>
      <c r="HT151" s="116"/>
      <c r="HU151" s="116"/>
      <c r="HV151" s="116"/>
      <c r="HW151" s="116"/>
      <c r="HX151" s="116"/>
      <c r="HY151" s="116"/>
      <c r="HZ151" s="116"/>
      <c r="IA151" s="116"/>
      <c r="IB151" s="116"/>
      <c r="IC151" s="116"/>
      <c r="ID151" s="116"/>
      <c r="IE151" s="116"/>
      <c r="IF151" s="116"/>
      <c r="IG151" s="116"/>
      <c r="IH151" s="116"/>
      <c r="II151" s="116"/>
      <c r="IJ151" s="116"/>
      <c r="IK151" s="116"/>
      <c r="IL151" s="116"/>
      <c r="IM151" s="116"/>
      <c r="IN151" s="116"/>
      <c r="IO151" s="116"/>
      <c r="IP151" s="116"/>
      <c r="IQ151" s="116"/>
      <c r="IR151" s="116"/>
      <c r="IS151" s="116"/>
      <c r="IT151" s="116"/>
      <c r="IU151" s="116"/>
      <c r="IV151" s="116"/>
      <c r="IW151" s="116"/>
    </row>
    <row r="152" spans="1:257" s="35" customFormat="1" x14ac:dyDescent="0.3">
      <c r="A152" s="1"/>
      <c r="B152" s="141" t="s">
        <v>191</v>
      </c>
      <c r="C152" s="236">
        <f>+C113</f>
        <v>0</v>
      </c>
      <c r="D152" s="236">
        <f t="shared" ref="D152:G152" si="41">+D113</f>
        <v>0</v>
      </c>
      <c r="E152" s="236">
        <f t="shared" si="41"/>
        <v>0</v>
      </c>
      <c r="F152" s="236">
        <f t="shared" si="41"/>
        <v>0</v>
      </c>
      <c r="G152" s="236">
        <f t="shared" si="41"/>
        <v>0</v>
      </c>
      <c r="H152" s="236">
        <f>+H113</f>
        <v>14155826286.421093</v>
      </c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6"/>
      <c r="AU152" s="116"/>
      <c r="AV152" s="116"/>
      <c r="AW152" s="116"/>
      <c r="AX152" s="116"/>
      <c r="AY152" s="116"/>
      <c r="AZ152" s="116"/>
      <c r="BA152" s="116"/>
      <c r="BB152" s="116"/>
      <c r="BC152" s="116"/>
      <c r="BD152" s="116"/>
      <c r="BE152" s="116"/>
      <c r="BF152" s="116"/>
      <c r="BG152" s="116"/>
      <c r="BH152" s="116"/>
      <c r="BI152" s="116"/>
      <c r="BJ152" s="116"/>
      <c r="BK152" s="116"/>
      <c r="BL152" s="116"/>
      <c r="BM152" s="116"/>
      <c r="BN152" s="116"/>
      <c r="BO152" s="116"/>
      <c r="BP152" s="116"/>
      <c r="BQ152" s="116"/>
      <c r="BR152" s="116"/>
      <c r="BS152" s="116"/>
      <c r="BT152" s="116"/>
      <c r="BU152" s="116"/>
      <c r="BV152" s="116"/>
      <c r="BW152" s="116"/>
      <c r="BX152" s="116"/>
      <c r="BY152" s="116"/>
      <c r="BZ152" s="116"/>
      <c r="CA152" s="116"/>
      <c r="CB152" s="116"/>
      <c r="CC152" s="116"/>
      <c r="CD152" s="116"/>
      <c r="CE152" s="116"/>
      <c r="CF152" s="116"/>
      <c r="CG152" s="116"/>
      <c r="CH152" s="116"/>
      <c r="CI152" s="116"/>
      <c r="CJ152" s="116"/>
      <c r="CK152" s="116"/>
      <c r="CL152" s="116"/>
      <c r="CM152" s="116"/>
      <c r="CN152" s="116"/>
      <c r="CO152" s="116"/>
      <c r="CP152" s="116"/>
      <c r="CQ152" s="116"/>
      <c r="CR152" s="116"/>
      <c r="CS152" s="116"/>
      <c r="CT152" s="116"/>
      <c r="CU152" s="116"/>
      <c r="CV152" s="116"/>
      <c r="CW152" s="116"/>
      <c r="CX152" s="116"/>
      <c r="CY152" s="116"/>
      <c r="CZ152" s="116"/>
      <c r="DA152" s="116"/>
      <c r="DB152" s="116"/>
      <c r="DC152" s="116"/>
      <c r="DD152" s="116"/>
      <c r="DE152" s="116"/>
      <c r="DF152" s="116"/>
      <c r="DG152" s="116"/>
      <c r="DH152" s="116"/>
      <c r="DI152" s="116"/>
      <c r="DJ152" s="116"/>
      <c r="DK152" s="116"/>
      <c r="DL152" s="116"/>
      <c r="DM152" s="116"/>
      <c r="DN152" s="116"/>
      <c r="DO152" s="116"/>
      <c r="DP152" s="116"/>
      <c r="DQ152" s="116"/>
      <c r="DR152" s="116"/>
      <c r="DS152" s="116"/>
      <c r="DT152" s="116"/>
      <c r="DU152" s="116"/>
      <c r="DV152" s="116"/>
      <c r="DW152" s="116"/>
      <c r="DX152" s="116"/>
      <c r="DY152" s="116"/>
      <c r="DZ152" s="116"/>
      <c r="EA152" s="116"/>
      <c r="EB152" s="116"/>
      <c r="EC152" s="116"/>
      <c r="ED152" s="116"/>
      <c r="EE152" s="116"/>
      <c r="EF152" s="116"/>
      <c r="EG152" s="116"/>
      <c r="EH152" s="116"/>
      <c r="EI152" s="116"/>
      <c r="EJ152" s="116"/>
      <c r="EK152" s="116"/>
      <c r="EL152" s="116"/>
      <c r="EM152" s="116"/>
      <c r="EN152" s="116"/>
      <c r="EO152" s="116"/>
      <c r="EP152" s="116"/>
      <c r="EQ152" s="116"/>
      <c r="ER152" s="116"/>
      <c r="ES152" s="116"/>
      <c r="ET152" s="116"/>
      <c r="EU152" s="116"/>
      <c r="EV152" s="116"/>
      <c r="EW152" s="116"/>
      <c r="EX152" s="116"/>
      <c r="EY152" s="116"/>
      <c r="EZ152" s="116"/>
      <c r="FA152" s="116"/>
      <c r="FB152" s="116"/>
      <c r="FC152" s="116"/>
      <c r="FD152" s="116"/>
      <c r="FE152" s="116"/>
      <c r="FF152" s="116"/>
      <c r="FG152" s="116"/>
      <c r="FH152" s="116"/>
      <c r="FI152" s="116"/>
      <c r="FJ152" s="116"/>
      <c r="FK152" s="116"/>
      <c r="FL152" s="116"/>
      <c r="FM152" s="116"/>
      <c r="FN152" s="116"/>
      <c r="FO152" s="116"/>
      <c r="FP152" s="116"/>
      <c r="FQ152" s="116"/>
      <c r="FR152" s="116"/>
      <c r="FS152" s="116"/>
      <c r="FT152" s="116"/>
      <c r="FU152" s="116"/>
      <c r="FV152" s="116"/>
      <c r="FW152" s="116"/>
      <c r="FX152" s="116"/>
      <c r="FY152" s="116"/>
      <c r="FZ152" s="116"/>
      <c r="GA152" s="116"/>
      <c r="GB152" s="116"/>
      <c r="GC152" s="116"/>
      <c r="GD152" s="116"/>
      <c r="GE152" s="116"/>
      <c r="GF152" s="116"/>
      <c r="GG152" s="116"/>
      <c r="GH152" s="116"/>
      <c r="GI152" s="116"/>
      <c r="GJ152" s="116"/>
      <c r="GK152" s="116"/>
      <c r="GL152" s="116"/>
      <c r="GM152" s="116"/>
      <c r="GN152" s="116"/>
      <c r="GO152" s="116"/>
      <c r="GP152" s="116"/>
      <c r="GQ152" s="116"/>
      <c r="GR152" s="116"/>
      <c r="GS152" s="116"/>
      <c r="GT152" s="116"/>
      <c r="GU152" s="116"/>
      <c r="GV152" s="116"/>
      <c r="GW152" s="116"/>
      <c r="GX152" s="116"/>
      <c r="GY152" s="116"/>
      <c r="GZ152" s="116"/>
      <c r="HA152" s="116"/>
      <c r="HB152" s="116"/>
      <c r="HC152" s="116"/>
      <c r="HD152" s="116"/>
      <c r="HE152" s="116"/>
      <c r="HF152" s="116"/>
      <c r="HG152" s="116"/>
      <c r="HH152" s="116"/>
      <c r="HI152" s="116"/>
      <c r="HJ152" s="116"/>
      <c r="HK152" s="116"/>
      <c r="HL152" s="116"/>
      <c r="HM152" s="116"/>
      <c r="HN152" s="116"/>
      <c r="HO152" s="116"/>
      <c r="HP152" s="116"/>
      <c r="HQ152" s="116"/>
      <c r="HR152" s="116"/>
      <c r="HS152" s="116"/>
      <c r="HT152" s="116"/>
      <c r="HU152" s="116"/>
      <c r="HV152" s="116"/>
      <c r="HW152" s="116"/>
      <c r="HX152" s="116"/>
      <c r="HY152" s="116"/>
      <c r="HZ152" s="116"/>
      <c r="IA152" s="116"/>
      <c r="IB152" s="116"/>
      <c r="IC152" s="116"/>
      <c r="ID152" s="116"/>
      <c r="IE152" s="116"/>
      <c r="IF152" s="116"/>
      <c r="IG152" s="116"/>
      <c r="IH152" s="116"/>
      <c r="II152" s="116"/>
      <c r="IJ152" s="116"/>
      <c r="IK152" s="116"/>
      <c r="IL152" s="116"/>
      <c r="IM152" s="116"/>
      <c r="IN152" s="116"/>
      <c r="IO152" s="116"/>
      <c r="IP152" s="116"/>
      <c r="IQ152" s="116"/>
      <c r="IR152" s="116"/>
      <c r="IS152" s="116"/>
      <c r="IT152" s="116"/>
      <c r="IU152" s="116"/>
      <c r="IV152" s="116"/>
      <c r="IW152" s="116"/>
    </row>
    <row r="153" spans="1:257" s="35" customFormat="1" x14ac:dyDescent="0.3">
      <c r="A153" s="1"/>
      <c r="B153" s="245" t="s">
        <v>209</v>
      </c>
      <c r="C153" s="241">
        <v>50000000</v>
      </c>
      <c r="D153" s="241"/>
      <c r="E153" s="241"/>
      <c r="F153" s="241"/>
      <c r="G153" s="241"/>
      <c r="H153" s="242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6"/>
      <c r="AU153" s="116"/>
      <c r="AV153" s="116"/>
      <c r="AW153" s="116"/>
      <c r="AX153" s="116"/>
      <c r="AY153" s="116"/>
      <c r="AZ153" s="116"/>
      <c r="BA153" s="116"/>
      <c r="BB153" s="116"/>
      <c r="BC153" s="116"/>
      <c r="BD153" s="116"/>
      <c r="BE153" s="116"/>
      <c r="BF153" s="116"/>
      <c r="BG153" s="116"/>
      <c r="BH153" s="116"/>
      <c r="BI153" s="116"/>
      <c r="BJ153" s="116"/>
      <c r="BK153" s="116"/>
      <c r="BL153" s="116"/>
      <c r="BM153" s="116"/>
      <c r="BN153" s="116"/>
      <c r="BO153" s="116"/>
      <c r="BP153" s="116"/>
      <c r="BQ153" s="116"/>
      <c r="BR153" s="116"/>
      <c r="BS153" s="116"/>
      <c r="BT153" s="116"/>
      <c r="BU153" s="116"/>
      <c r="BV153" s="116"/>
      <c r="BW153" s="116"/>
      <c r="BX153" s="116"/>
      <c r="BY153" s="116"/>
      <c r="BZ153" s="116"/>
      <c r="CA153" s="116"/>
      <c r="CB153" s="116"/>
      <c r="CC153" s="116"/>
      <c r="CD153" s="116"/>
      <c r="CE153" s="116"/>
      <c r="CF153" s="116"/>
      <c r="CG153" s="116"/>
      <c r="CH153" s="116"/>
      <c r="CI153" s="116"/>
      <c r="CJ153" s="116"/>
      <c r="CK153" s="116"/>
      <c r="CL153" s="116"/>
      <c r="CM153" s="116"/>
      <c r="CN153" s="116"/>
      <c r="CO153" s="116"/>
      <c r="CP153" s="116"/>
      <c r="CQ153" s="116"/>
      <c r="CR153" s="116"/>
      <c r="CS153" s="116"/>
      <c r="CT153" s="116"/>
      <c r="CU153" s="116"/>
      <c r="CV153" s="116"/>
      <c r="CW153" s="116"/>
      <c r="CX153" s="116"/>
      <c r="CY153" s="116"/>
      <c r="CZ153" s="116"/>
      <c r="DA153" s="116"/>
      <c r="DB153" s="116"/>
      <c r="DC153" s="116"/>
      <c r="DD153" s="116"/>
      <c r="DE153" s="116"/>
      <c r="DF153" s="116"/>
      <c r="DG153" s="116"/>
      <c r="DH153" s="116"/>
      <c r="DI153" s="116"/>
      <c r="DJ153" s="116"/>
      <c r="DK153" s="116"/>
      <c r="DL153" s="116"/>
      <c r="DM153" s="116"/>
      <c r="DN153" s="116"/>
      <c r="DO153" s="116"/>
      <c r="DP153" s="116"/>
      <c r="DQ153" s="116"/>
      <c r="DR153" s="116"/>
      <c r="DS153" s="116"/>
      <c r="DT153" s="116"/>
      <c r="DU153" s="116"/>
      <c r="DV153" s="116"/>
      <c r="DW153" s="116"/>
      <c r="DX153" s="116"/>
      <c r="DY153" s="116"/>
      <c r="DZ153" s="116"/>
      <c r="EA153" s="116"/>
      <c r="EB153" s="116"/>
      <c r="EC153" s="116"/>
      <c r="ED153" s="116"/>
      <c r="EE153" s="116"/>
      <c r="EF153" s="116"/>
      <c r="EG153" s="116"/>
      <c r="EH153" s="116"/>
      <c r="EI153" s="116"/>
      <c r="EJ153" s="116"/>
      <c r="EK153" s="116"/>
      <c r="EL153" s="116"/>
      <c r="EM153" s="116"/>
      <c r="EN153" s="116"/>
      <c r="EO153" s="116"/>
      <c r="EP153" s="116"/>
      <c r="EQ153" s="116"/>
      <c r="ER153" s="116"/>
      <c r="ES153" s="116"/>
      <c r="ET153" s="116"/>
      <c r="EU153" s="116"/>
      <c r="EV153" s="116"/>
      <c r="EW153" s="116"/>
      <c r="EX153" s="116"/>
      <c r="EY153" s="116"/>
      <c r="EZ153" s="116"/>
      <c r="FA153" s="116"/>
      <c r="FB153" s="116"/>
      <c r="FC153" s="116"/>
      <c r="FD153" s="116"/>
      <c r="FE153" s="116"/>
      <c r="FF153" s="116"/>
      <c r="FG153" s="116"/>
      <c r="FH153" s="116"/>
      <c r="FI153" s="116"/>
      <c r="FJ153" s="116"/>
      <c r="FK153" s="116"/>
      <c r="FL153" s="116"/>
      <c r="FM153" s="116"/>
      <c r="FN153" s="116"/>
      <c r="FO153" s="116"/>
      <c r="FP153" s="116"/>
      <c r="FQ153" s="116"/>
      <c r="FR153" s="116"/>
      <c r="FS153" s="116"/>
      <c r="FT153" s="116"/>
      <c r="FU153" s="116"/>
      <c r="FV153" s="116"/>
      <c r="FW153" s="116"/>
      <c r="FX153" s="116"/>
      <c r="FY153" s="116"/>
      <c r="FZ153" s="116"/>
      <c r="GA153" s="116"/>
      <c r="GB153" s="116"/>
      <c r="GC153" s="116"/>
      <c r="GD153" s="116"/>
      <c r="GE153" s="116"/>
      <c r="GF153" s="116"/>
      <c r="GG153" s="116"/>
      <c r="GH153" s="116"/>
      <c r="GI153" s="116"/>
      <c r="GJ153" s="116"/>
      <c r="GK153" s="116"/>
      <c r="GL153" s="116"/>
      <c r="GM153" s="116"/>
      <c r="GN153" s="116"/>
      <c r="GO153" s="116"/>
      <c r="GP153" s="116"/>
      <c r="GQ153" s="116"/>
      <c r="GR153" s="116"/>
      <c r="GS153" s="116"/>
      <c r="GT153" s="116"/>
      <c r="GU153" s="116"/>
      <c r="GV153" s="116"/>
      <c r="GW153" s="116"/>
      <c r="GX153" s="116"/>
      <c r="GY153" s="116"/>
      <c r="GZ153" s="116"/>
      <c r="HA153" s="116"/>
      <c r="HB153" s="116"/>
      <c r="HC153" s="116"/>
      <c r="HD153" s="116"/>
      <c r="HE153" s="116"/>
      <c r="HF153" s="116"/>
      <c r="HG153" s="116"/>
      <c r="HH153" s="116"/>
      <c r="HI153" s="116"/>
      <c r="HJ153" s="116"/>
      <c r="HK153" s="116"/>
      <c r="HL153" s="116"/>
      <c r="HM153" s="116"/>
      <c r="HN153" s="116"/>
      <c r="HO153" s="116"/>
      <c r="HP153" s="116"/>
      <c r="HQ153" s="116"/>
      <c r="HR153" s="116"/>
      <c r="HS153" s="116"/>
      <c r="HT153" s="116"/>
      <c r="HU153" s="116"/>
      <c r="HV153" s="116"/>
      <c r="HW153" s="116"/>
      <c r="HX153" s="116"/>
      <c r="HY153" s="116"/>
      <c r="HZ153" s="116"/>
      <c r="IA153" s="116"/>
      <c r="IB153" s="116"/>
      <c r="IC153" s="116"/>
      <c r="ID153" s="116"/>
      <c r="IE153" s="116"/>
      <c r="IF153" s="116"/>
      <c r="IG153" s="116"/>
      <c r="IH153" s="116"/>
      <c r="II153" s="116"/>
      <c r="IJ153" s="116"/>
      <c r="IK153" s="116"/>
      <c r="IL153" s="116"/>
      <c r="IM153" s="116"/>
      <c r="IN153" s="116"/>
      <c r="IO153" s="116"/>
      <c r="IP153" s="116"/>
      <c r="IQ153" s="116"/>
      <c r="IR153" s="116"/>
      <c r="IS153" s="116"/>
      <c r="IT153" s="116"/>
      <c r="IU153" s="116"/>
      <c r="IV153" s="116"/>
      <c r="IW153" s="116"/>
    </row>
    <row r="154" spans="1:257" s="35" customFormat="1" x14ac:dyDescent="0.3">
      <c r="A154" s="1"/>
      <c r="B154" s="245" t="s">
        <v>210</v>
      </c>
      <c r="C154" s="241"/>
      <c r="D154" s="241">
        <f>+E126</f>
        <v>6105417.3572230078</v>
      </c>
      <c r="E154" s="241">
        <f>+E127</f>
        <v>7625055.737435814</v>
      </c>
      <c r="F154" s="241">
        <f>+E128</f>
        <v>9522932.1104835887</v>
      </c>
      <c r="G154" s="241">
        <f>+E129</f>
        <v>11893189.912782952</v>
      </c>
      <c r="H154" s="243">
        <f>+E130</f>
        <v>14853404.88207463</v>
      </c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6"/>
      <c r="AU154" s="116"/>
      <c r="AV154" s="116"/>
      <c r="AW154" s="116"/>
      <c r="AX154" s="116"/>
      <c r="AY154" s="116"/>
      <c r="AZ154" s="116"/>
      <c r="BA154" s="116"/>
      <c r="BB154" s="116"/>
      <c r="BC154" s="116"/>
      <c r="BD154" s="116"/>
      <c r="BE154" s="116"/>
      <c r="BF154" s="116"/>
      <c r="BG154" s="116"/>
      <c r="BH154" s="116"/>
      <c r="BI154" s="116"/>
      <c r="BJ154" s="116"/>
      <c r="BK154" s="116"/>
      <c r="BL154" s="116"/>
      <c r="BM154" s="116"/>
      <c r="BN154" s="116"/>
      <c r="BO154" s="116"/>
      <c r="BP154" s="116"/>
      <c r="BQ154" s="116"/>
      <c r="BR154" s="116"/>
      <c r="BS154" s="116"/>
      <c r="BT154" s="116"/>
      <c r="BU154" s="116"/>
      <c r="BV154" s="116"/>
      <c r="BW154" s="116"/>
      <c r="BX154" s="116"/>
      <c r="BY154" s="116"/>
      <c r="BZ154" s="116"/>
      <c r="CA154" s="116"/>
      <c r="CB154" s="116"/>
      <c r="CC154" s="116"/>
      <c r="CD154" s="116"/>
      <c r="CE154" s="116"/>
      <c r="CF154" s="116"/>
      <c r="CG154" s="116"/>
      <c r="CH154" s="116"/>
      <c r="CI154" s="116"/>
      <c r="CJ154" s="116"/>
      <c r="CK154" s="116"/>
      <c r="CL154" s="116"/>
      <c r="CM154" s="116"/>
      <c r="CN154" s="116"/>
      <c r="CO154" s="116"/>
      <c r="CP154" s="116"/>
      <c r="CQ154" s="116"/>
      <c r="CR154" s="116"/>
      <c r="CS154" s="116"/>
      <c r="CT154" s="116"/>
      <c r="CU154" s="116"/>
      <c r="CV154" s="116"/>
      <c r="CW154" s="116"/>
      <c r="CX154" s="116"/>
      <c r="CY154" s="116"/>
      <c r="CZ154" s="116"/>
      <c r="DA154" s="116"/>
      <c r="DB154" s="116"/>
      <c r="DC154" s="116"/>
      <c r="DD154" s="116"/>
      <c r="DE154" s="116"/>
      <c r="DF154" s="116"/>
      <c r="DG154" s="116"/>
      <c r="DH154" s="116"/>
      <c r="DI154" s="116"/>
      <c r="DJ154" s="116"/>
      <c r="DK154" s="116"/>
      <c r="DL154" s="116"/>
      <c r="DM154" s="116"/>
      <c r="DN154" s="116"/>
      <c r="DO154" s="116"/>
      <c r="DP154" s="116"/>
      <c r="DQ154" s="116"/>
      <c r="DR154" s="116"/>
      <c r="DS154" s="116"/>
      <c r="DT154" s="116"/>
      <c r="DU154" s="116"/>
      <c r="DV154" s="116"/>
      <c r="DW154" s="116"/>
      <c r="DX154" s="116"/>
      <c r="DY154" s="116"/>
      <c r="DZ154" s="116"/>
      <c r="EA154" s="116"/>
      <c r="EB154" s="116"/>
      <c r="EC154" s="116"/>
      <c r="ED154" s="116"/>
      <c r="EE154" s="116"/>
      <c r="EF154" s="116"/>
      <c r="EG154" s="116"/>
      <c r="EH154" s="116"/>
      <c r="EI154" s="116"/>
      <c r="EJ154" s="116"/>
      <c r="EK154" s="116"/>
      <c r="EL154" s="116"/>
      <c r="EM154" s="116"/>
      <c r="EN154" s="116"/>
      <c r="EO154" s="116"/>
      <c r="EP154" s="116"/>
      <c r="EQ154" s="116"/>
      <c r="ER154" s="116"/>
      <c r="ES154" s="116"/>
      <c r="ET154" s="116"/>
      <c r="EU154" s="116"/>
      <c r="EV154" s="116"/>
      <c r="EW154" s="116"/>
      <c r="EX154" s="116"/>
      <c r="EY154" s="116"/>
      <c r="EZ154" s="116"/>
      <c r="FA154" s="116"/>
      <c r="FB154" s="116"/>
      <c r="FC154" s="116"/>
      <c r="FD154" s="116"/>
      <c r="FE154" s="116"/>
      <c r="FF154" s="116"/>
      <c r="FG154" s="116"/>
      <c r="FH154" s="116"/>
      <c r="FI154" s="116"/>
      <c r="FJ154" s="116"/>
      <c r="FK154" s="116"/>
      <c r="FL154" s="116"/>
      <c r="FM154" s="116"/>
      <c r="FN154" s="116"/>
      <c r="FO154" s="116"/>
      <c r="FP154" s="116"/>
      <c r="FQ154" s="116"/>
      <c r="FR154" s="116"/>
      <c r="FS154" s="116"/>
      <c r="FT154" s="116"/>
      <c r="FU154" s="116"/>
      <c r="FV154" s="116"/>
      <c r="FW154" s="116"/>
      <c r="FX154" s="116"/>
      <c r="FY154" s="116"/>
      <c r="FZ154" s="116"/>
      <c r="GA154" s="116"/>
      <c r="GB154" s="116"/>
      <c r="GC154" s="116"/>
      <c r="GD154" s="116"/>
      <c r="GE154" s="116"/>
      <c r="GF154" s="116"/>
      <c r="GG154" s="116"/>
      <c r="GH154" s="116"/>
      <c r="GI154" s="116"/>
      <c r="GJ154" s="116"/>
      <c r="GK154" s="116"/>
      <c r="GL154" s="116"/>
      <c r="GM154" s="116"/>
      <c r="GN154" s="116"/>
      <c r="GO154" s="116"/>
      <c r="GP154" s="116"/>
      <c r="GQ154" s="116"/>
      <c r="GR154" s="116"/>
      <c r="GS154" s="116"/>
      <c r="GT154" s="116"/>
      <c r="GU154" s="116"/>
      <c r="GV154" s="116"/>
      <c r="GW154" s="116"/>
      <c r="GX154" s="116"/>
      <c r="GY154" s="116"/>
      <c r="GZ154" s="116"/>
      <c r="HA154" s="116"/>
      <c r="HB154" s="116"/>
      <c r="HC154" s="116"/>
      <c r="HD154" s="116"/>
      <c r="HE154" s="116"/>
      <c r="HF154" s="116"/>
      <c r="HG154" s="116"/>
      <c r="HH154" s="116"/>
      <c r="HI154" s="116"/>
      <c r="HJ154" s="116"/>
      <c r="HK154" s="116"/>
      <c r="HL154" s="116"/>
      <c r="HM154" s="116"/>
      <c r="HN154" s="116"/>
      <c r="HO154" s="116"/>
      <c r="HP154" s="116"/>
      <c r="HQ154" s="116"/>
      <c r="HR154" s="116"/>
      <c r="HS154" s="116"/>
      <c r="HT154" s="116"/>
      <c r="HU154" s="116"/>
      <c r="HV154" s="116"/>
      <c r="HW154" s="116"/>
      <c r="HX154" s="116"/>
      <c r="HY154" s="116"/>
      <c r="HZ154" s="116"/>
      <c r="IA154" s="116"/>
      <c r="IB154" s="116"/>
      <c r="IC154" s="116"/>
      <c r="ID154" s="116"/>
      <c r="IE154" s="116"/>
      <c r="IF154" s="116"/>
      <c r="IG154" s="116"/>
      <c r="IH154" s="116"/>
      <c r="II154" s="116"/>
      <c r="IJ154" s="116"/>
      <c r="IK154" s="116"/>
      <c r="IL154" s="116"/>
      <c r="IM154" s="116"/>
      <c r="IN154" s="116"/>
      <c r="IO154" s="116"/>
      <c r="IP154" s="116"/>
      <c r="IQ154" s="116"/>
      <c r="IR154" s="116"/>
      <c r="IS154" s="116"/>
      <c r="IT154" s="116"/>
      <c r="IU154" s="116"/>
      <c r="IV154" s="116"/>
      <c r="IW154" s="116"/>
    </row>
    <row r="155" spans="1:257" x14ac:dyDescent="0.3">
      <c r="B155" s="141" t="s">
        <v>192</v>
      </c>
      <c r="C155" s="236"/>
      <c r="D155" s="236"/>
      <c r="E155" s="236"/>
      <c r="F155" s="236"/>
      <c r="G155" s="236"/>
      <c r="H155" s="167">
        <f>+H114</f>
        <v>5625000</v>
      </c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  <c r="AU155" s="116"/>
      <c r="AV155" s="116"/>
      <c r="AW155" s="116"/>
      <c r="AX155" s="116"/>
      <c r="AY155" s="116"/>
      <c r="AZ155" s="116"/>
      <c r="BA155" s="116"/>
      <c r="BB155" s="116"/>
      <c r="BC155" s="116"/>
      <c r="BD155" s="116"/>
      <c r="BE155" s="116"/>
      <c r="BF155" s="116"/>
      <c r="BG155" s="116"/>
      <c r="BH155" s="116"/>
      <c r="BI155" s="116"/>
      <c r="BJ155" s="116"/>
      <c r="BK155" s="116"/>
      <c r="BL155" s="116"/>
      <c r="BM155" s="116"/>
      <c r="BN155" s="116"/>
      <c r="BO155" s="116"/>
      <c r="BP155" s="116"/>
      <c r="BQ155" s="116"/>
      <c r="BR155" s="116"/>
      <c r="BS155" s="116"/>
      <c r="BT155" s="116"/>
      <c r="BU155" s="116"/>
      <c r="BV155" s="116"/>
      <c r="BW155" s="116"/>
      <c r="BX155" s="116"/>
      <c r="BY155" s="116"/>
      <c r="BZ155" s="116"/>
      <c r="CA155" s="116"/>
      <c r="CB155" s="116"/>
      <c r="CC155" s="116"/>
      <c r="CD155" s="116"/>
      <c r="CE155" s="116"/>
      <c r="CF155" s="116"/>
      <c r="CG155" s="116"/>
      <c r="CH155" s="116"/>
      <c r="CI155" s="116"/>
      <c r="CJ155" s="116"/>
      <c r="CK155" s="116"/>
      <c r="CL155" s="116"/>
      <c r="CM155" s="116"/>
      <c r="CN155" s="116"/>
      <c r="CO155" s="116"/>
      <c r="CP155" s="116"/>
      <c r="CQ155" s="116"/>
      <c r="CR155" s="116"/>
      <c r="CS155" s="116"/>
      <c r="CT155" s="116"/>
      <c r="CU155" s="116"/>
      <c r="CV155" s="116"/>
      <c r="CW155" s="116"/>
      <c r="CX155" s="116"/>
      <c r="CY155" s="116"/>
      <c r="CZ155" s="116"/>
      <c r="DA155" s="116"/>
      <c r="DB155" s="116"/>
      <c r="DC155" s="116"/>
      <c r="DD155" s="116"/>
      <c r="DE155" s="116"/>
      <c r="DF155" s="116"/>
      <c r="DG155" s="116"/>
      <c r="DH155" s="116"/>
      <c r="DI155" s="116"/>
      <c r="DJ155" s="116"/>
      <c r="DK155" s="116"/>
      <c r="DL155" s="116"/>
      <c r="DM155" s="116"/>
      <c r="DN155" s="116"/>
      <c r="DO155" s="116"/>
      <c r="DP155" s="116"/>
      <c r="DQ155" s="116"/>
      <c r="DR155" s="116"/>
      <c r="DS155" s="116"/>
      <c r="DT155" s="116"/>
      <c r="DU155" s="116"/>
      <c r="DV155" s="116"/>
      <c r="DW155" s="116"/>
      <c r="DX155" s="116"/>
      <c r="DY155" s="116"/>
      <c r="DZ155" s="116"/>
      <c r="EA155" s="116"/>
      <c r="EB155" s="116"/>
      <c r="EC155" s="116"/>
      <c r="ED155" s="116"/>
      <c r="EE155" s="116"/>
      <c r="EF155" s="116"/>
      <c r="EG155" s="116"/>
      <c r="EH155" s="116"/>
      <c r="EI155" s="116"/>
      <c r="EJ155" s="116"/>
      <c r="EK155" s="116"/>
      <c r="EL155" s="116"/>
      <c r="EM155" s="116"/>
      <c r="EN155" s="116"/>
      <c r="EO155" s="116"/>
      <c r="EP155" s="116"/>
      <c r="EQ155" s="116"/>
      <c r="ER155" s="116"/>
      <c r="ES155" s="116"/>
      <c r="ET155" s="116"/>
      <c r="EU155" s="116"/>
      <c r="EV155" s="116"/>
      <c r="EW155" s="116"/>
      <c r="EX155" s="116"/>
      <c r="EY155" s="116"/>
      <c r="EZ155" s="116"/>
      <c r="FA155" s="116"/>
      <c r="FB155" s="116"/>
      <c r="FC155" s="116"/>
      <c r="FD155" s="116"/>
      <c r="FE155" s="116"/>
      <c r="FF155" s="116"/>
      <c r="FG155" s="116"/>
      <c r="FH155" s="116"/>
      <c r="FI155" s="116"/>
      <c r="FJ155" s="116"/>
      <c r="FK155" s="116"/>
      <c r="FL155" s="116"/>
      <c r="FM155" s="116"/>
      <c r="FN155" s="116"/>
      <c r="FO155" s="116"/>
      <c r="FP155" s="116"/>
      <c r="FQ155" s="116"/>
      <c r="FR155" s="116"/>
      <c r="FS155" s="116"/>
      <c r="FT155" s="116"/>
      <c r="FU155" s="116"/>
      <c r="FV155" s="116"/>
      <c r="FW155" s="116"/>
      <c r="FX155" s="116"/>
      <c r="FY155" s="116"/>
      <c r="FZ155" s="116"/>
      <c r="GA155" s="116"/>
      <c r="GB155" s="116"/>
      <c r="GC155" s="116"/>
      <c r="GD155" s="116"/>
      <c r="GE155" s="116"/>
      <c r="GF155" s="116"/>
      <c r="GG155" s="116"/>
      <c r="GH155" s="116"/>
      <c r="GI155" s="116"/>
      <c r="GJ155" s="116"/>
      <c r="GK155" s="116"/>
      <c r="GL155" s="116"/>
      <c r="GM155" s="116"/>
      <c r="GN155" s="116"/>
      <c r="GO155" s="116"/>
      <c r="GP155" s="116"/>
      <c r="GQ155" s="116"/>
      <c r="GR155" s="116"/>
      <c r="GS155" s="116"/>
      <c r="GT155" s="116"/>
      <c r="GU155" s="116"/>
      <c r="GV155" s="116"/>
      <c r="GW155" s="116"/>
      <c r="GX155" s="116"/>
      <c r="GY155" s="116"/>
      <c r="GZ155" s="116"/>
      <c r="HA155" s="116"/>
      <c r="HB155" s="116"/>
      <c r="HC155" s="116"/>
      <c r="HD155" s="116"/>
      <c r="HE155" s="116"/>
      <c r="HF155" s="116"/>
      <c r="HG155" s="116"/>
      <c r="HH155" s="116"/>
      <c r="HI155" s="116"/>
      <c r="HJ155" s="116"/>
      <c r="HK155" s="116"/>
      <c r="HL155" s="116"/>
      <c r="HM155" s="116"/>
      <c r="HN155" s="116"/>
      <c r="HO155" s="116"/>
      <c r="HP155" s="116"/>
      <c r="HQ155" s="116"/>
      <c r="HR155" s="116"/>
      <c r="HS155" s="116"/>
      <c r="HT155" s="116"/>
      <c r="HU155" s="116"/>
      <c r="HV155" s="116"/>
      <c r="HW155" s="116"/>
      <c r="HX155" s="116"/>
      <c r="HY155" s="116"/>
      <c r="HZ155" s="116"/>
      <c r="IA155" s="116"/>
      <c r="IB155" s="116"/>
      <c r="IC155" s="116"/>
      <c r="ID155" s="116"/>
      <c r="IE155" s="116"/>
      <c r="IF155" s="116"/>
      <c r="IG155" s="116"/>
      <c r="IH155" s="116"/>
      <c r="II155" s="116"/>
      <c r="IJ155" s="116"/>
      <c r="IK155" s="116"/>
      <c r="IL155" s="116"/>
      <c r="IM155" s="116"/>
      <c r="IN155" s="116"/>
      <c r="IO155" s="116"/>
      <c r="IP155" s="116"/>
      <c r="IQ155" s="116"/>
      <c r="IR155" s="116"/>
      <c r="IS155" s="116"/>
      <c r="IT155" s="116"/>
      <c r="IU155" s="116"/>
      <c r="IV155" s="116"/>
      <c r="IW155" s="116"/>
    </row>
    <row r="156" spans="1:257" x14ac:dyDescent="0.3">
      <c r="B156" s="246" t="s">
        <v>217</v>
      </c>
      <c r="C156" s="238">
        <f>+C144-C145+C146+C147-C148-C149-C150-C151+C152+C153-C154+C155</f>
        <v>-20705000</v>
      </c>
      <c r="D156" s="238">
        <f>+D144-D145+D146+D147-D148-D149-D150-D151+D152+D153-D154+D155</f>
        <v>-16853241479.632114</v>
      </c>
      <c r="E156" s="238">
        <f t="shared" ref="E156:H156" si="42">+E144-E145+E146+E147-E148-E149-E150-E151+E152+E153-E154+E155</f>
        <v>-9202317160.187397</v>
      </c>
      <c r="F156" s="238">
        <f t="shared" si="42"/>
        <v>16175569997.119804</v>
      </c>
      <c r="G156" s="238">
        <f>+G144-G145+G146+G147-G148-G149-G150-G151+G152+G153-G154+G155</f>
        <v>18369260619.808987</v>
      </c>
      <c r="H156" s="238">
        <f t="shared" si="42"/>
        <v>34835811337.197563</v>
      </c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  <c r="BD156" s="116"/>
      <c r="BE156" s="116"/>
      <c r="BF156" s="116"/>
      <c r="BG156" s="116"/>
      <c r="BH156" s="116"/>
      <c r="BI156" s="116"/>
      <c r="BJ156" s="116"/>
      <c r="BK156" s="116"/>
      <c r="BL156" s="116"/>
      <c r="BM156" s="116"/>
      <c r="BN156" s="116"/>
      <c r="BO156" s="116"/>
      <c r="BP156" s="116"/>
      <c r="BQ156" s="116"/>
      <c r="BR156" s="116"/>
      <c r="BS156" s="116"/>
      <c r="BT156" s="116"/>
      <c r="BU156" s="116"/>
      <c r="BV156" s="116"/>
      <c r="BW156" s="116"/>
      <c r="BX156" s="116"/>
      <c r="BY156" s="116"/>
      <c r="BZ156" s="116"/>
      <c r="CA156" s="116"/>
      <c r="CB156" s="116"/>
      <c r="CC156" s="116"/>
      <c r="CD156" s="116"/>
      <c r="CE156" s="116"/>
      <c r="CF156" s="116"/>
      <c r="CG156" s="116"/>
      <c r="CH156" s="116"/>
      <c r="CI156" s="116"/>
      <c r="CJ156" s="116"/>
      <c r="CK156" s="116"/>
      <c r="CL156" s="116"/>
      <c r="CM156" s="116"/>
      <c r="CN156" s="116"/>
      <c r="CO156" s="116"/>
      <c r="CP156" s="116"/>
      <c r="CQ156" s="116"/>
      <c r="CR156" s="116"/>
      <c r="CS156" s="116"/>
      <c r="CT156" s="116"/>
      <c r="CU156" s="116"/>
      <c r="CV156" s="116"/>
      <c r="CW156" s="116"/>
      <c r="CX156" s="116"/>
      <c r="CY156" s="116"/>
      <c r="CZ156" s="116"/>
      <c r="DA156" s="116"/>
      <c r="DB156" s="116"/>
      <c r="DC156" s="116"/>
      <c r="DD156" s="116"/>
      <c r="DE156" s="116"/>
      <c r="DF156" s="116"/>
      <c r="DG156" s="116"/>
      <c r="DH156" s="116"/>
      <c r="DI156" s="116"/>
      <c r="DJ156" s="116"/>
      <c r="DK156" s="116"/>
      <c r="DL156" s="116"/>
      <c r="DM156" s="116"/>
      <c r="DN156" s="116"/>
      <c r="DO156" s="116"/>
      <c r="DP156" s="116"/>
      <c r="DQ156" s="116"/>
      <c r="DR156" s="116"/>
      <c r="DS156" s="116"/>
      <c r="DT156" s="116"/>
      <c r="DU156" s="116"/>
      <c r="DV156" s="116"/>
      <c r="DW156" s="116"/>
      <c r="DX156" s="116"/>
      <c r="DY156" s="116"/>
      <c r="DZ156" s="116"/>
      <c r="EA156" s="116"/>
      <c r="EB156" s="116"/>
      <c r="EC156" s="116"/>
      <c r="ED156" s="116"/>
      <c r="EE156" s="116"/>
      <c r="EF156" s="116"/>
      <c r="EG156" s="116"/>
      <c r="EH156" s="116"/>
      <c r="EI156" s="116"/>
      <c r="EJ156" s="116"/>
      <c r="EK156" s="116"/>
      <c r="EL156" s="116"/>
      <c r="EM156" s="116"/>
      <c r="EN156" s="116"/>
      <c r="EO156" s="116"/>
      <c r="EP156" s="116"/>
      <c r="EQ156" s="116"/>
      <c r="ER156" s="116"/>
      <c r="ES156" s="116"/>
      <c r="ET156" s="116"/>
      <c r="EU156" s="116"/>
      <c r="EV156" s="116"/>
      <c r="EW156" s="116"/>
      <c r="EX156" s="116"/>
      <c r="EY156" s="116"/>
      <c r="EZ156" s="116"/>
      <c r="FA156" s="116"/>
      <c r="FB156" s="116"/>
      <c r="FC156" s="116"/>
      <c r="FD156" s="116"/>
      <c r="FE156" s="116"/>
      <c r="FF156" s="116"/>
      <c r="FG156" s="116"/>
      <c r="FH156" s="116"/>
      <c r="FI156" s="116"/>
      <c r="FJ156" s="116"/>
      <c r="FK156" s="116"/>
      <c r="FL156" s="116"/>
      <c r="FM156" s="116"/>
      <c r="FN156" s="116"/>
      <c r="FO156" s="116"/>
      <c r="FP156" s="116"/>
      <c r="FQ156" s="116"/>
      <c r="FR156" s="116"/>
      <c r="FS156" s="116"/>
      <c r="FT156" s="116"/>
      <c r="FU156" s="116"/>
      <c r="FV156" s="116"/>
      <c r="FW156" s="116"/>
      <c r="FX156" s="116"/>
      <c r="FY156" s="116"/>
      <c r="FZ156" s="116"/>
      <c r="GA156" s="116"/>
      <c r="GB156" s="116"/>
      <c r="GC156" s="116"/>
      <c r="GD156" s="116"/>
      <c r="GE156" s="116"/>
      <c r="GF156" s="116"/>
      <c r="GG156" s="116"/>
      <c r="GH156" s="116"/>
      <c r="GI156" s="116"/>
      <c r="GJ156" s="116"/>
      <c r="GK156" s="116"/>
      <c r="GL156" s="116"/>
      <c r="GM156" s="116"/>
      <c r="GN156" s="116"/>
      <c r="GO156" s="116"/>
      <c r="GP156" s="116"/>
      <c r="GQ156" s="116"/>
      <c r="GR156" s="116"/>
      <c r="GS156" s="116"/>
      <c r="GT156" s="116"/>
      <c r="GU156" s="116"/>
      <c r="GV156" s="116"/>
      <c r="GW156" s="116"/>
      <c r="GX156" s="116"/>
      <c r="GY156" s="116"/>
      <c r="GZ156" s="116"/>
      <c r="HA156" s="116"/>
      <c r="HB156" s="116"/>
      <c r="HC156" s="116"/>
      <c r="HD156" s="116"/>
      <c r="HE156" s="116"/>
      <c r="HF156" s="116"/>
      <c r="HG156" s="116"/>
      <c r="HH156" s="116"/>
      <c r="HI156" s="116"/>
      <c r="HJ156" s="116"/>
      <c r="HK156" s="116"/>
      <c r="HL156" s="116"/>
      <c r="HM156" s="116"/>
      <c r="HN156" s="116"/>
      <c r="HO156" s="116"/>
      <c r="HP156" s="116"/>
      <c r="HQ156" s="116"/>
      <c r="HR156" s="116"/>
      <c r="HS156" s="116"/>
      <c r="HT156" s="116"/>
      <c r="HU156" s="116"/>
      <c r="HV156" s="116"/>
      <c r="HW156" s="116"/>
      <c r="HX156" s="116"/>
      <c r="HY156" s="116"/>
      <c r="HZ156" s="116"/>
      <c r="IA156" s="116"/>
      <c r="IB156" s="116"/>
      <c r="IC156" s="116"/>
      <c r="ID156" s="116"/>
      <c r="IE156" s="116"/>
      <c r="IF156" s="116"/>
      <c r="IG156" s="116"/>
      <c r="IH156" s="116"/>
      <c r="II156" s="116"/>
      <c r="IJ156" s="116"/>
      <c r="IK156" s="116"/>
      <c r="IL156" s="116"/>
      <c r="IM156" s="116"/>
      <c r="IN156" s="116"/>
      <c r="IO156" s="116"/>
      <c r="IP156" s="116"/>
      <c r="IQ156" s="116"/>
      <c r="IR156" s="116"/>
      <c r="IS156" s="116"/>
      <c r="IT156" s="116"/>
      <c r="IU156" s="116"/>
      <c r="IV156" s="116"/>
      <c r="IW156" s="116"/>
    </row>
    <row r="157" spans="1:257" x14ac:dyDescent="0.3">
      <c r="B157" s="141" t="s">
        <v>218</v>
      </c>
      <c r="C157" s="236"/>
      <c r="D157" s="272">
        <f>+D156/(1+$C$82)^D135</f>
        <v>-14549553587.513903</v>
      </c>
      <c r="E157" s="272">
        <f t="shared" ref="E157:H157" si="43">+E156/(1+$C$82)^E135</f>
        <v>-6858507958.9175997</v>
      </c>
      <c r="F157" s="272">
        <f t="shared" si="43"/>
        <v>10407783938.898544</v>
      </c>
      <c r="G157" s="272">
        <f t="shared" si="43"/>
        <v>10203674012.002672</v>
      </c>
      <c r="H157" s="272">
        <f t="shared" si="43"/>
        <v>16705406734.420679</v>
      </c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  <c r="AT157" s="116"/>
      <c r="AU157" s="116"/>
      <c r="AV157" s="116"/>
      <c r="AW157" s="116"/>
      <c r="AX157" s="116"/>
      <c r="AY157" s="116"/>
      <c r="AZ157" s="116"/>
      <c r="BA157" s="116"/>
      <c r="BB157" s="116"/>
      <c r="BC157" s="116"/>
      <c r="BD157" s="116"/>
      <c r="BE157" s="116"/>
      <c r="BF157" s="116"/>
      <c r="BG157" s="116"/>
      <c r="BH157" s="116"/>
      <c r="BI157" s="116"/>
      <c r="BJ157" s="116"/>
      <c r="BK157" s="116"/>
      <c r="BL157" s="116"/>
      <c r="BM157" s="116"/>
      <c r="BN157" s="116"/>
      <c r="BO157" s="116"/>
      <c r="BP157" s="116"/>
      <c r="BQ157" s="116"/>
      <c r="BR157" s="116"/>
      <c r="BS157" s="116"/>
      <c r="BT157" s="116"/>
      <c r="BU157" s="116"/>
      <c r="BV157" s="116"/>
      <c r="BW157" s="116"/>
      <c r="BX157" s="116"/>
      <c r="BY157" s="116"/>
      <c r="BZ157" s="116"/>
      <c r="CA157" s="116"/>
      <c r="CB157" s="116"/>
      <c r="CC157" s="116"/>
      <c r="CD157" s="116"/>
      <c r="CE157" s="116"/>
      <c r="CF157" s="116"/>
      <c r="CG157" s="116"/>
      <c r="CH157" s="116"/>
      <c r="CI157" s="116"/>
      <c r="CJ157" s="116"/>
      <c r="CK157" s="116"/>
      <c r="CL157" s="116"/>
      <c r="CM157" s="116"/>
      <c r="CN157" s="116"/>
      <c r="CO157" s="116"/>
      <c r="CP157" s="116"/>
      <c r="CQ157" s="116"/>
      <c r="CR157" s="116"/>
      <c r="CS157" s="116"/>
      <c r="CT157" s="116"/>
      <c r="CU157" s="116"/>
      <c r="CV157" s="116"/>
      <c r="CW157" s="116"/>
      <c r="CX157" s="116"/>
      <c r="CY157" s="116"/>
      <c r="CZ157" s="116"/>
      <c r="DA157" s="116"/>
      <c r="DB157" s="116"/>
      <c r="DC157" s="116"/>
      <c r="DD157" s="116"/>
      <c r="DE157" s="116"/>
      <c r="DF157" s="116"/>
      <c r="DG157" s="116"/>
      <c r="DH157" s="116"/>
      <c r="DI157" s="116"/>
      <c r="DJ157" s="116"/>
      <c r="DK157" s="116"/>
      <c r="DL157" s="116"/>
      <c r="DM157" s="116"/>
      <c r="DN157" s="116"/>
      <c r="DO157" s="116"/>
      <c r="DP157" s="116"/>
      <c r="DQ157" s="116"/>
      <c r="DR157" s="116"/>
      <c r="DS157" s="116"/>
      <c r="DT157" s="116"/>
      <c r="DU157" s="116"/>
      <c r="DV157" s="116"/>
      <c r="DW157" s="116"/>
      <c r="DX157" s="116"/>
      <c r="DY157" s="116"/>
      <c r="DZ157" s="116"/>
      <c r="EA157" s="116"/>
      <c r="EB157" s="116"/>
      <c r="EC157" s="116"/>
      <c r="ED157" s="116"/>
      <c r="EE157" s="116"/>
      <c r="EF157" s="116"/>
      <c r="EG157" s="116"/>
      <c r="EH157" s="116"/>
      <c r="EI157" s="116"/>
      <c r="EJ157" s="116"/>
      <c r="EK157" s="116"/>
      <c r="EL157" s="116"/>
      <c r="EM157" s="116"/>
      <c r="EN157" s="116"/>
      <c r="EO157" s="116"/>
      <c r="EP157" s="116"/>
      <c r="EQ157" s="116"/>
      <c r="ER157" s="116"/>
      <c r="ES157" s="116"/>
      <c r="ET157" s="116"/>
      <c r="EU157" s="116"/>
      <c r="EV157" s="116"/>
      <c r="EW157" s="116"/>
      <c r="EX157" s="116"/>
      <c r="EY157" s="116"/>
      <c r="EZ157" s="116"/>
      <c r="FA157" s="116"/>
      <c r="FB157" s="116"/>
      <c r="FC157" s="116"/>
      <c r="FD157" s="116"/>
      <c r="FE157" s="116"/>
      <c r="FF157" s="116"/>
      <c r="FG157" s="116"/>
      <c r="FH157" s="116"/>
      <c r="FI157" s="116"/>
      <c r="FJ157" s="116"/>
      <c r="FK157" s="116"/>
      <c r="FL157" s="116"/>
      <c r="FM157" s="116"/>
      <c r="FN157" s="116"/>
      <c r="FO157" s="116"/>
      <c r="FP157" s="116"/>
      <c r="FQ157" s="116"/>
      <c r="FR157" s="116"/>
      <c r="FS157" s="116"/>
      <c r="FT157" s="116"/>
      <c r="FU157" s="116"/>
      <c r="FV157" s="116"/>
      <c r="FW157" s="116"/>
      <c r="FX157" s="116"/>
      <c r="FY157" s="116"/>
      <c r="FZ157" s="116"/>
      <c r="GA157" s="116"/>
      <c r="GB157" s="116"/>
      <c r="GC157" s="116"/>
      <c r="GD157" s="116"/>
      <c r="GE157" s="116"/>
      <c r="GF157" s="116"/>
      <c r="GG157" s="116"/>
      <c r="GH157" s="116"/>
      <c r="GI157" s="116"/>
      <c r="GJ157" s="116"/>
      <c r="GK157" s="116"/>
      <c r="GL157" s="116"/>
      <c r="GM157" s="116"/>
      <c r="GN157" s="116"/>
      <c r="GO157" s="116"/>
      <c r="GP157" s="116"/>
      <c r="GQ157" s="116"/>
      <c r="GR157" s="116"/>
      <c r="GS157" s="116"/>
      <c r="GT157" s="116"/>
      <c r="GU157" s="116"/>
      <c r="GV157" s="116"/>
      <c r="GW157" s="116"/>
      <c r="GX157" s="116"/>
      <c r="GY157" s="116"/>
      <c r="GZ157" s="116"/>
      <c r="HA157" s="116"/>
      <c r="HB157" s="116"/>
      <c r="HC157" s="116"/>
      <c r="HD157" s="116"/>
      <c r="HE157" s="116"/>
      <c r="HF157" s="116"/>
      <c r="HG157" s="116"/>
      <c r="HH157" s="116"/>
      <c r="HI157" s="116"/>
      <c r="HJ157" s="116"/>
      <c r="HK157" s="116"/>
      <c r="HL157" s="116"/>
      <c r="HM157" s="116"/>
      <c r="HN157" s="116"/>
      <c r="HO157" s="116"/>
      <c r="HP157" s="116"/>
      <c r="HQ157" s="116"/>
      <c r="HR157" s="116"/>
      <c r="HS157" s="116"/>
      <c r="HT157" s="116"/>
      <c r="HU157" s="116"/>
      <c r="HV157" s="116"/>
      <c r="HW157" s="116"/>
      <c r="HX157" s="116"/>
      <c r="HY157" s="116"/>
      <c r="HZ157" s="116"/>
      <c r="IA157" s="116"/>
      <c r="IB157" s="116"/>
      <c r="IC157" s="116"/>
      <c r="ID157" s="116"/>
      <c r="IE157" s="116"/>
      <c r="IF157" s="116"/>
      <c r="IG157" s="116"/>
      <c r="IH157" s="116"/>
      <c r="II157" s="116"/>
      <c r="IJ157" s="116"/>
      <c r="IK157" s="116"/>
      <c r="IL157" s="116"/>
      <c r="IM157" s="116"/>
      <c r="IN157" s="116"/>
      <c r="IO157" s="116"/>
      <c r="IP157" s="116"/>
      <c r="IQ157" s="116"/>
      <c r="IR157" s="116"/>
      <c r="IS157" s="116"/>
      <c r="IT157" s="116"/>
      <c r="IU157" s="116"/>
      <c r="IV157" s="116"/>
      <c r="IW157" s="116"/>
    </row>
    <row r="158" spans="1:257" x14ac:dyDescent="0.3">
      <c r="B158" s="141" t="s">
        <v>216</v>
      </c>
      <c r="C158" s="236"/>
      <c r="D158" s="272">
        <f>+D157</f>
        <v>-14549553587.513903</v>
      </c>
      <c r="E158" s="272">
        <f>+D158+E157</f>
        <v>-21408061546.431503</v>
      </c>
      <c r="F158" s="272">
        <f>+E158+F157</f>
        <v>-11000277607.532959</v>
      </c>
      <c r="G158" s="272">
        <f>+F158+G157</f>
        <v>-796603595.53028679</v>
      </c>
      <c r="H158" s="272">
        <f>+G158+H157</f>
        <v>15908803138.890392</v>
      </c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  <c r="AS158" s="116"/>
      <c r="AT158" s="116"/>
      <c r="AU158" s="116"/>
      <c r="AV158" s="116"/>
      <c r="AW158" s="116"/>
      <c r="AX158" s="116"/>
      <c r="AY158" s="116"/>
      <c r="AZ158" s="116"/>
      <c r="BA158" s="116"/>
      <c r="BB158" s="116"/>
      <c r="BC158" s="116"/>
      <c r="BD158" s="116"/>
      <c r="BE158" s="116"/>
      <c r="BF158" s="116"/>
      <c r="BG158" s="116"/>
      <c r="BH158" s="116"/>
      <c r="BI158" s="116"/>
      <c r="BJ158" s="116"/>
      <c r="BK158" s="116"/>
      <c r="BL158" s="116"/>
      <c r="BM158" s="116"/>
      <c r="BN158" s="116"/>
      <c r="BO158" s="116"/>
      <c r="BP158" s="116"/>
      <c r="BQ158" s="116"/>
      <c r="BR158" s="116"/>
      <c r="BS158" s="116"/>
      <c r="BT158" s="116"/>
      <c r="BU158" s="116"/>
      <c r="BV158" s="116"/>
      <c r="BW158" s="116"/>
      <c r="BX158" s="116"/>
      <c r="BY158" s="116"/>
      <c r="BZ158" s="116"/>
      <c r="CA158" s="116"/>
      <c r="CB158" s="116"/>
      <c r="CC158" s="116"/>
      <c r="CD158" s="116"/>
      <c r="CE158" s="116"/>
      <c r="CF158" s="116"/>
      <c r="CG158" s="116"/>
      <c r="CH158" s="116"/>
      <c r="CI158" s="116"/>
      <c r="CJ158" s="116"/>
      <c r="CK158" s="116"/>
      <c r="CL158" s="116"/>
      <c r="CM158" s="116"/>
      <c r="CN158" s="116"/>
      <c r="CO158" s="116"/>
      <c r="CP158" s="116"/>
      <c r="CQ158" s="116"/>
      <c r="CR158" s="116"/>
      <c r="CS158" s="116"/>
      <c r="CT158" s="116"/>
      <c r="CU158" s="116"/>
      <c r="CV158" s="116"/>
      <c r="CW158" s="116"/>
      <c r="CX158" s="116"/>
      <c r="CY158" s="116"/>
      <c r="CZ158" s="116"/>
      <c r="DA158" s="116"/>
      <c r="DB158" s="116"/>
      <c r="DC158" s="116"/>
      <c r="DD158" s="116"/>
      <c r="DE158" s="116"/>
      <c r="DF158" s="116"/>
      <c r="DG158" s="116"/>
      <c r="DH158" s="116"/>
      <c r="DI158" s="116"/>
      <c r="DJ158" s="116"/>
      <c r="DK158" s="116"/>
      <c r="DL158" s="116"/>
      <c r="DM158" s="116"/>
      <c r="DN158" s="116"/>
      <c r="DO158" s="116"/>
      <c r="DP158" s="116"/>
      <c r="DQ158" s="116"/>
      <c r="DR158" s="116"/>
      <c r="DS158" s="116"/>
      <c r="DT158" s="116"/>
      <c r="DU158" s="116"/>
      <c r="DV158" s="116"/>
      <c r="DW158" s="116"/>
      <c r="DX158" s="116"/>
      <c r="DY158" s="116"/>
      <c r="DZ158" s="116"/>
      <c r="EA158" s="116"/>
      <c r="EB158" s="116"/>
      <c r="EC158" s="116"/>
      <c r="ED158" s="116"/>
      <c r="EE158" s="116"/>
      <c r="EF158" s="116"/>
      <c r="EG158" s="116"/>
      <c r="EH158" s="116"/>
      <c r="EI158" s="116"/>
      <c r="EJ158" s="116"/>
      <c r="EK158" s="116"/>
      <c r="EL158" s="116"/>
      <c r="EM158" s="116"/>
      <c r="EN158" s="116"/>
      <c r="EO158" s="116"/>
      <c r="EP158" s="116"/>
      <c r="EQ158" s="116"/>
      <c r="ER158" s="116"/>
      <c r="ES158" s="116"/>
      <c r="ET158" s="116"/>
      <c r="EU158" s="116"/>
      <c r="EV158" s="116"/>
      <c r="EW158" s="116"/>
      <c r="EX158" s="116"/>
      <c r="EY158" s="116"/>
      <c r="EZ158" s="116"/>
      <c r="FA158" s="116"/>
      <c r="FB158" s="116"/>
      <c r="FC158" s="116"/>
      <c r="FD158" s="116"/>
      <c r="FE158" s="116"/>
      <c r="FF158" s="116"/>
      <c r="FG158" s="116"/>
      <c r="FH158" s="116"/>
      <c r="FI158" s="116"/>
      <c r="FJ158" s="116"/>
      <c r="FK158" s="116"/>
      <c r="FL158" s="116"/>
      <c r="FM158" s="116"/>
      <c r="FN158" s="116"/>
      <c r="FO158" s="116"/>
      <c r="FP158" s="116"/>
      <c r="FQ158" s="116"/>
      <c r="FR158" s="116"/>
      <c r="FS158" s="116"/>
      <c r="FT158" s="116"/>
      <c r="FU158" s="116"/>
      <c r="FV158" s="116"/>
      <c r="FW158" s="116"/>
      <c r="FX158" s="116"/>
      <c r="FY158" s="116"/>
      <c r="FZ158" s="116"/>
      <c r="GA158" s="116"/>
      <c r="GB158" s="116"/>
      <c r="GC158" s="116"/>
      <c r="GD158" s="116"/>
      <c r="GE158" s="116"/>
      <c r="GF158" s="116"/>
      <c r="GG158" s="116"/>
      <c r="GH158" s="116"/>
      <c r="GI158" s="116"/>
      <c r="GJ158" s="116"/>
      <c r="GK158" s="116"/>
      <c r="GL158" s="116"/>
      <c r="GM158" s="116"/>
      <c r="GN158" s="116"/>
      <c r="GO158" s="116"/>
      <c r="GP158" s="116"/>
      <c r="GQ158" s="116"/>
      <c r="GR158" s="116"/>
      <c r="GS158" s="116"/>
      <c r="GT158" s="116"/>
      <c r="GU158" s="116"/>
      <c r="GV158" s="116"/>
      <c r="GW158" s="116"/>
      <c r="GX158" s="116"/>
      <c r="GY158" s="116"/>
      <c r="GZ158" s="116"/>
      <c r="HA158" s="116"/>
      <c r="HB158" s="116"/>
      <c r="HC158" s="116"/>
      <c r="HD158" s="116"/>
      <c r="HE158" s="116"/>
      <c r="HF158" s="116"/>
      <c r="HG158" s="116"/>
      <c r="HH158" s="116"/>
      <c r="HI158" s="116"/>
      <c r="HJ158" s="116"/>
      <c r="HK158" s="116"/>
      <c r="HL158" s="116"/>
      <c r="HM158" s="116"/>
      <c r="HN158" s="116"/>
      <c r="HO158" s="116"/>
      <c r="HP158" s="116"/>
      <c r="HQ158" s="116"/>
      <c r="HR158" s="116"/>
      <c r="HS158" s="116"/>
      <c r="HT158" s="116"/>
      <c r="HU158" s="116"/>
      <c r="HV158" s="116"/>
      <c r="HW158" s="116"/>
      <c r="HX158" s="116"/>
      <c r="HY158" s="116"/>
      <c r="HZ158" s="116"/>
      <c r="IA158" s="116"/>
      <c r="IB158" s="116"/>
      <c r="IC158" s="116"/>
      <c r="ID158" s="116"/>
      <c r="IE158" s="116"/>
      <c r="IF158" s="116"/>
      <c r="IG158" s="116"/>
      <c r="IH158" s="116"/>
      <c r="II158" s="116"/>
      <c r="IJ158" s="116"/>
      <c r="IK158" s="116"/>
      <c r="IL158" s="116"/>
      <c r="IM158" s="116"/>
      <c r="IN158" s="116"/>
      <c r="IO158" s="116"/>
      <c r="IP158" s="116"/>
      <c r="IQ158" s="116"/>
      <c r="IR158" s="116"/>
      <c r="IS158" s="116"/>
      <c r="IT158" s="116"/>
      <c r="IU158" s="116"/>
      <c r="IV158" s="116"/>
      <c r="IW158" s="116"/>
    </row>
    <row r="159" spans="1:257" x14ac:dyDescent="0.3">
      <c r="B159" s="141" t="s">
        <v>211</v>
      </c>
      <c r="C159" s="282">
        <f>+IRR(C156:H156)</f>
        <v>0.41204965032134355</v>
      </c>
      <c r="D159" s="136"/>
      <c r="E159" s="136"/>
      <c r="F159" s="136"/>
      <c r="G159" s="13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  <c r="AT159" s="116"/>
      <c r="AU159" s="116"/>
      <c r="AV159" s="116"/>
      <c r="AW159" s="116"/>
      <c r="AX159" s="116"/>
      <c r="AY159" s="116"/>
      <c r="AZ159" s="116"/>
      <c r="BA159" s="116"/>
      <c r="BB159" s="116"/>
      <c r="BC159" s="116"/>
      <c r="BD159" s="116"/>
      <c r="BE159" s="116"/>
      <c r="BF159" s="116"/>
      <c r="BG159" s="116"/>
      <c r="BH159" s="116"/>
      <c r="BI159" s="116"/>
      <c r="BJ159" s="116"/>
      <c r="BK159" s="116"/>
      <c r="BL159" s="116"/>
      <c r="BM159" s="116"/>
      <c r="BN159" s="116"/>
      <c r="BO159" s="116"/>
      <c r="BP159" s="116"/>
      <c r="BQ159" s="116"/>
      <c r="BR159" s="116"/>
      <c r="BS159" s="116"/>
      <c r="BT159" s="116"/>
      <c r="BU159" s="116"/>
      <c r="BV159" s="116"/>
      <c r="BW159" s="116"/>
      <c r="BX159" s="116"/>
      <c r="BY159" s="116"/>
      <c r="BZ159" s="116"/>
      <c r="CA159" s="116"/>
      <c r="CB159" s="116"/>
      <c r="CC159" s="116"/>
      <c r="CD159" s="116"/>
      <c r="CE159" s="116"/>
      <c r="CF159" s="116"/>
      <c r="CG159" s="116"/>
      <c r="CH159" s="116"/>
      <c r="CI159" s="116"/>
      <c r="CJ159" s="116"/>
      <c r="CK159" s="116"/>
      <c r="CL159" s="116"/>
      <c r="CM159" s="116"/>
      <c r="CN159" s="116"/>
      <c r="CO159" s="116"/>
      <c r="CP159" s="116"/>
      <c r="CQ159" s="116"/>
      <c r="CR159" s="116"/>
      <c r="CS159" s="116"/>
      <c r="CT159" s="116"/>
      <c r="CU159" s="116"/>
      <c r="CV159" s="116"/>
      <c r="CW159" s="116"/>
      <c r="CX159" s="116"/>
      <c r="CY159" s="116"/>
      <c r="CZ159" s="116"/>
      <c r="DA159" s="116"/>
      <c r="DB159" s="116"/>
      <c r="DC159" s="116"/>
      <c r="DD159" s="116"/>
      <c r="DE159" s="116"/>
      <c r="DF159" s="116"/>
      <c r="DG159" s="116"/>
      <c r="DH159" s="116"/>
      <c r="DI159" s="116"/>
      <c r="DJ159" s="116"/>
      <c r="DK159" s="116"/>
      <c r="DL159" s="116"/>
      <c r="DM159" s="116"/>
      <c r="DN159" s="116"/>
      <c r="DO159" s="116"/>
      <c r="DP159" s="116"/>
      <c r="DQ159" s="116"/>
      <c r="DR159" s="116"/>
      <c r="DS159" s="116"/>
      <c r="DT159" s="116"/>
      <c r="DU159" s="116"/>
      <c r="DV159" s="116"/>
      <c r="DW159" s="116"/>
      <c r="DX159" s="116"/>
      <c r="DY159" s="116"/>
      <c r="DZ159" s="116"/>
      <c r="EA159" s="116"/>
      <c r="EB159" s="116"/>
      <c r="EC159" s="116"/>
      <c r="ED159" s="116"/>
      <c r="EE159" s="116"/>
      <c r="EF159" s="116"/>
      <c r="EG159" s="116"/>
      <c r="EH159" s="116"/>
      <c r="EI159" s="116"/>
      <c r="EJ159" s="116"/>
      <c r="EK159" s="116"/>
      <c r="EL159" s="116"/>
      <c r="EM159" s="116"/>
      <c r="EN159" s="116"/>
      <c r="EO159" s="116"/>
      <c r="EP159" s="116"/>
      <c r="EQ159" s="116"/>
      <c r="ER159" s="116"/>
      <c r="ES159" s="116"/>
      <c r="ET159" s="116"/>
      <c r="EU159" s="116"/>
      <c r="EV159" s="116"/>
      <c r="EW159" s="116"/>
      <c r="EX159" s="116"/>
      <c r="EY159" s="116"/>
      <c r="EZ159" s="116"/>
      <c r="FA159" s="116"/>
      <c r="FB159" s="116"/>
      <c r="FC159" s="116"/>
      <c r="FD159" s="116"/>
      <c r="FE159" s="116"/>
      <c r="FF159" s="116"/>
      <c r="FG159" s="116"/>
      <c r="FH159" s="116"/>
      <c r="FI159" s="116"/>
      <c r="FJ159" s="116"/>
      <c r="FK159" s="116"/>
      <c r="FL159" s="116"/>
      <c r="FM159" s="116"/>
      <c r="FN159" s="116"/>
      <c r="FO159" s="116"/>
      <c r="FP159" s="116"/>
      <c r="FQ159" s="116"/>
      <c r="FR159" s="116"/>
      <c r="FS159" s="116"/>
      <c r="FT159" s="116"/>
      <c r="FU159" s="116"/>
      <c r="FV159" s="116"/>
      <c r="FW159" s="116"/>
      <c r="FX159" s="116"/>
      <c r="FY159" s="116"/>
      <c r="FZ159" s="116"/>
      <c r="GA159" s="116"/>
      <c r="GB159" s="116"/>
      <c r="GC159" s="116"/>
      <c r="GD159" s="116"/>
      <c r="GE159" s="116"/>
      <c r="GF159" s="116"/>
      <c r="GG159" s="116"/>
      <c r="GH159" s="116"/>
      <c r="GI159" s="116"/>
      <c r="GJ159" s="116"/>
      <c r="GK159" s="116"/>
      <c r="GL159" s="116"/>
      <c r="GM159" s="116"/>
      <c r="GN159" s="116"/>
      <c r="GO159" s="116"/>
      <c r="GP159" s="116"/>
      <c r="GQ159" s="116"/>
      <c r="GR159" s="116"/>
      <c r="GS159" s="116"/>
      <c r="GT159" s="116"/>
      <c r="GU159" s="116"/>
      <c r="GV159" s="116"/>
      <c r="GW159" s="116"/>
      <c r="GX159" s="116"/>
      <c r="GY159" s="116"/>
      <c r="GZ159" s="116"/>
      <c r="HA159" s="116"/>
      <c r="HB159" s="116"/>
      <c r="HC159" s="116"/>
      <c r="HD159" s="116"/>
      <c r="HE159" s="116"/>
      <c r="HF159" s="116"/>
      <c r="HG159" s="116"/>
      <c r="HH159" s="116"/>
      <c r="HI159" s="116"/>
      <c r="HJ159" s="116"/>
      <c r="HK159" s="116"/>
      <c r="HL159" s="116"/>
      <c r="HM159" s="116"/>
      <c r="HN159" s="116"/>
      <c r="HO159" s="116"/>
      <c r="HP159" s="116"/>
      <c r="HQ159" s="116"/>
      <c r="HR159" s="116"/>
      <c r="HS159" s="116"/>
      <c r="HT159" s="116"/>
      <c r="HU159" s="116"/>
      <c r="HV159" s="116"/>
      <c r="HW159" s="116"/>
      <c r="HX159" s="116"/>
      <c r="HY159" s="116"/>
      <c r="HZ159" s="116"/>
      <c r="IA159" s="116"/>
      <c r="IB159" s="116"/>
      <c r="IC159" s="116"/>
      <c r="ID159" s="116"/>
      <c r="IE159" s="116"/>
      <c r="IF159" s="116"/>
      <c r="IG159" s="116"/>
      <c r="IH159" s="116"/>
      <c r="II159" s="116"/>
      <c r="IJ159" s="116"/>
      <c r="IK159" s="116"/>
      <c r="IL159" s="116"/>
      <c r="IM159" s="116"/>
      <c r="IN159" s="116"/>
      <c r="IO159" s="116"/>
      <c r="IP159" s="116"/>
      <c r="IQ159" s="116"/>
      <c r="IR159" s="116"/>
      <c r="IS159" s="116"/>
      <c r="IT159" s="116"/>
      <c r="IU159" s="116"/>
      <c r="IV159" s="116"/>
      <c r="IW159" s="116"/>
    </row>
    <row r="160" spans="1:257" x14ac:dyDescent="0.3">
      <c r="B160" s="141" t="s">
        <v>194</v>
      </c>
      <c r="C160" s="247">
        <f>+NPV(C82,D156:H156)+C156</f>
        <v>15888098138.890396</v>
      </c>
      <c r="D160" s="210"/>
      <c r="E160" s="142"/>
      <c r="F160" s="136"/>
      <c r="G160" s="13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  <c r="AT160" s="116"/>
      <c r="AU160" s="116"/>
      <c r="AV160" s="116"/>
      <c r="AW160" s="116"/>
      <c r="AX160" s="116"/>
      <c r="AY160" s="116"/>
      <c r="AZ160" s="116"/>
      <c r="BA160" s="116"/>
      <c r="BB160" s="116"/>
      <c r="BC160" s="116"/>
      <c r="BD160" s="116"/>
      <c r="BE160" s="116"/>
      <c r="BF160" s="116"/>
      <c r="BG160" s="116"/>
      <c r="BH160" s="116"/>
      <c r="BI160" s="116"/>
      <c r="BJ160" s="116"/>
      <c r="BK160" s="116"/>
      <c r="BL160" s="116"/>
      <c r="BM160" s="116"/>
      <c r="BN160" s="116"/>
      <c r="BO160" s="116"/>
      <c r="BP160" s="116"/>
      <c r="BQ160" s="116"/>
      <c r="BR160" s="116"/>
      <c r="BS160" s="116"/>
      <c r="BT160" s="116"/>
      <c r="BU160" s="116"/>
      <c r="BV160" s="116"/>
      <c r="BW160" s="116"/>
      <c r="BX160" s="116"/>
      <c r="BY160" s="116"/>
      <c r="BZ160" s="116"/>
      <c r="CA160" s="116"/>
      <c r="CB160" s="116"/>
      <c r="CC160" s="116"/>
      <c r="CD160" s="116"/>
      <c r="CE160" s="116"/>
      <c r="CF160" s="116"/>
      <c r="CG160" s="116"/>
      <c r="CH160" s="116"/>
      <c r="CI160" s="116"/>
      <c r="CJ160" s="116"/>
      <c r="CK160" s="116"/>
      <c r="CL160" s="116"/>
      <c r="CM160" s="116"/>
      <c r="CN160" s="116"/>
      <c r="CO160" s="116"/>
      <c r="CP160" s="116"/>
      <c r="CQ160" s="116"/>
      <c r="CR160" s="116"/>
      <c r="CS160" s="116"/>
      <c r="CT160" s="116"/>
      <c r="CU160" s="116"/>
      <c r="CV160" s="116"/>
      <c r="CW160" s="116"/>
      <c r="CX160" s="116"/>
      <c r="CY160" s="116"/>
      <c r="CZ160" s="116"/>
      <c r="DA160" s="116"/>
      <c r="DB160" s="116"/>
      <c r="DC160" s="116"/>
      <c r="DD160" s="116"/>
      <c r="DE160" s="116"/>
      <c r="DF160" s="116"/>
      <c r="DG160" s="116"/>
      <c r="DH160" s="116"/>
      <c r="DI160" s="116"/>
      <c r="DJ160" s="116"/>
      <c r="DK160" s="116"/>
      <c r="DL160" s="116"/>
      <c r="DM160" s="116"/>
      <c r="DN160" s="116"/>
      <c r="DO160" s="116"/>
      <c r="DP160" s="116"/>
      <c r="DQ160" s="116"/>
      <c r="DR160" s="116"/>
      <c r="DS160" s="116"/>
      <c r="DT160" s="116"/>
      <c r="DU160" s="116"/>
      <c r="DV160" s="116"/>
      <c r="DW160" s="116"/>
      <c r="DX160" s="116"/>
      <c r="DY160" s="116"/>
      <c r="DZ160" s="116"/>
      <c r="EA160" s="116"/>
      <c r="EB160" s="116"/>
      <c r="EC160" s="116"/>
      <c r="ED160" s="116"/>
      <c r="EE160" s="116"/>
      <c r="EF160" s="116"/>
      <c r="EG160" s="116"/>
      <c r="EH160" s="116"/>
      <c r="EI160" s="116"/>
      <c r="EJ160" s="116"/>
      <c r="EK160" s="116"/>
      <c r="EL160" s="116"/>
      <c r="EM160" s="116"/>
      <c r="EN160" s="116"/>
      <c r="EO160" s="116"/>
      <c r="EP160" s="116"/>
      <c r="EQ160" s="116"/>
      <c r="ER160" s="116"/>
      <c r="ES160" s="116"/>
      <c r="ET160" s="116"/>
      <c r="EU160" s="116"/>
      <c r="EV160" s="116"/>
      <c r="EW160" s="116"/>
      <c r="EX160" s="116"/>
      <c r="EY160" s="116"/>
      <c r="EZ160" s="116"/>
      <c r="FA160" s="116"/>
      <c r="FB160" s="116"/>
      <c r="FC160" s="116"/>
      <c r="FD160" s="116"/>
      <c r="FE160" s="116"/>
      <c r="FF160" s="116"/>
      <c r="FG160" s="116"/>
      <c r="FH160" s="116"/>
      <c r="FI160" s="116"/>
      <c r="FJ160" s="116"/>
      <c r="FK160" s="116"/>
      <c r="FL160" s="116"/>
      <c r="FM160" s="116"/>
      <c r="FN160" s="116"/>
      <c r="FO160" s="116"/>
      <c r="FP160" s="116"/>
      <c r="FQ160" s="116"/>
      <c r="FR160" s="116"/>
      <c r="FS160" s="116"/>
      <c r="FT160" s="116"/>
      <c r="FU160" s="116"/>
      <c r="FV160" s="116"/>
      <c r="FW160" s="116"/>
      <c r="FX160" s="116"/>
      <c r="FY160" s="116"/>
      <c r="FZ160" s="116"/>
      <c r="GA160" s="116"/>
      <c r="GB160" s="116"/>
      <c r="GC160" s="116"/>
      <c r="GD160" s="116"/>
      <c r="GE160" s="116"/>
      <c r="GF160" s="116"/>
      <c r="GG160" s="116"/>
      <c r="GH160" s="116"/>
      <c r="GI160" s="116"/>
      <c r="GJ160" s="116"/>
      <c r="GK160" s="116"/>
      <c r="GL160" s="116"/>
      <c r="GM160" s="116"/>
      <c r="GN160" s="116"/>
      <c r="GO160" s="116"/>
      <c r="GP160" s="116"/>
      <c r="GQ160" s="116"/>
      <c r="GR160" s="116"/>
      <c r="GS160" s="116"/>
      <c r="GT160" s="116"/>
      <c r="GU160" s="116"/>
      <c r="GV160" s="116"/>
      <c r="GW160" s="116"/>
      <c r="GX160" s="116"/>
      <c r="GY160" s="116"/>
      <c r="GZ160" s="116"/>
      <c r="HA160" s="116"/>
      <c r="HB160" s="116"/>
      <c r="HC160" s="116"/>
      <c r="HD160" s="116"/>
      <c r="HE160" s="116"/>
      <c r="HF160" s="116"/>
      <c r="HG160" s="116"/>
      <c r="HH160" s="116"/>
      <c r="HI160" s="116"/>
      <c r="HJ160" s="116"/>
      <c r="HK160" s="116"/>
      <c r="HL160" s="116"/>
      <c r="HM160" s="116"/>
      <c r="HN160" s="116"/>
      <c r="HO160" s="116"/>
      <c r="HP160" s="116"/>
      <c r="HQ160" s="116"/>
      <c r="HR160" s="116"/>
      <c r="HS160" s="116"/>
      <c r="HT160" s="116"/>
      <c r="HU160" s="116"/>
      <c r="HV160" s="116"/>
      <c r="HW160" s="116"/>
      <c r="HX160" s="116"/>
      <c r="HY160" s="116"/>
      <c r="HZ160" s="116"/>
      <c r="IA160" s="116"/>
      <c r="IB160" s="116"/>
      <c r="IC160" s="116"/>
      <c r="ID160" s="116"/>
      <c r="IE160" s="116"/>
      <c r="IF160" s="116"/>
      <c r="IG160" s="116"/>
      <c r="IH160" s="116"/>
      <c r="II160" s="116"/>
      <c r="IJ160" s="116"/>
      <c r="IK160" s="116"/>
      <c r="IL160" s="116"/>
      <c r="IM160" s="116"/>
      <c r="IN160" s="116"/>
      <c r="IO160" s="116"/>
      <c r="IP160" s="116"/>
      <c r="IQ160" s="116"/>
      <c r="IR160" s="116"/>
      <c r="IS160" s="116"/>
      <c r="IT160" s="116"/>
      <c r="IU160" s="116"/>
      <c r="IV160" s="116"/>
      <c r="IW160" s="116"/>
    </row>
    <row r="161" spans="2:257" x14ac:dyDescent="0.3">
      <c r="B161" s="141" t="s">
        <v>171</v>
      </c>
      <c r="C161" s="255" t="s">
        <v>262</v>
      </c>
      <c r="D161" s="116"/>
      <c r="E161" s="116"/>
      <c r="F161" s="116"/>
      <c r="G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  <c r="AX161" s="116"/>
      <c r="AY161" s="116"/>
      <c r="AZ161" s="116"/>
      <c r="BA161" s="116"/>
      <c r="BB161" s="116"/>
      <c r="BC161" s="116"/>
      <c r="BD161" s="116"/>
      <c r="BE161" s="116"/>
      <c r="BF161" s="116"/>
      <c r="BG161" s="116"/>
      <c r="BH161" s="116"/>
      <c r="BI161" s="116"/>
      <c r="BJ161" s="116"/>
      <c r="BK161" s="116"/>
      <c r="BL161" s="116"/>
      <c r="BM161" s="116"/>
      <c r="BN161" s="116"/>
      <c r="BO161" s="116"/>
      <c r="BP161" s="116"/>
      <c r="BQ161" s="116"/>
      <c r="BR161" s="116"/>
      <c r="BS161" s="116"/>
      <c r="BT161" s="116"/>
      <c r="BU161" s="116"/>
      <c r="BV161" s="116"/>
      <c r="BW161" s="116"/>
      <c r="BX161" s="116"/>
      <c r="BY161" s="116"/>
      <c r="BZ161" s="116"/>
      <c r="CA161" s="116"/>
      <c r="CB161" s="116"/>
      <c r="CC161" s="116"/>
      <c r="CD161" s="116"/>
      <c r="CE161" s="116"/>
      <c r="CF161" s="116"/>
      <c r="CG161" s="116"/>
      <c r="CH161" s="116"/>
      <c r="CI161" s="116"/>
      <c r="CJ161" s="116"/>
      <c r="CK161" s="116"/>
      <c r="CL161" s="116"/>
      <c r="CM161" s="116"/>
      <c r="CN161" s="116"/>
      <c r="CO161" s="116"/>
      <c r="CP161" s="116"/>
      <c r="CQ161" s="116"/>
      <c r="CR161" s="116"/>
      <c r="CS161" s="116"/>
      <c r="CT161" s="116"/>
      <c r="CU161" s="116"/>
      <c r="CV161" s="116"/>
      <c r="CW161" s="116"/>
      <c r="CX161" s="116"/>
      <c r="CY161" s="116"/>
      <c r="CZ161" s="116"/>
      <c r="DA161" s="116"/>
      <c r="DB161" s="116"/>
      <c r="DC161" s="116"/>
      <c r="DD161" s="116"/>
      <c r="DE161" s="116"/>
      <c r="DF161" s="116"/>
      <c r="DG161" s="116"/>
      <c r="DH161" s="116"/>
      <c r="DI161" s="116"/>
      <c r="DJ161" s="116"/>
      <c r="DK161" s="116"/>
      <c r="DL161" s="116"/>
      <c r="DM161" s="116"/>
      <c r="DN161" s="116"/>
      <c r="DO161" s="116"/>
      <c r="DP161" s="116"/>
      <c r="DQ161" s="116"/>
      <c r="DR161" s="116"/>
      <c r="DS161" s="116"/>
      <c r="DT161" s="116"/>
      <c r="DU161" s="116"/>
      <c r="DV161" s="116"/>
      <c r="DW161" s="116"/>
      <c r="DX161" s="116"/>
      <c r="DY161" s="116"/>
      <c r="DZ161" s="116"/>
      <c r="EA161" s="116"/>
      <c r="EB161" s="116"/>
      <c r="EC161" s="116"/>
      <c r="ED161" s="116"/>
      <c r="EE161" s="116"/>
      <c r="EF161" s="116"/>
      <c r="EG161" s="116"/>
      <c r="EH161" s="116"/>
      <c r="EI161" s="116"/>
      <c r="EJ161" s="116"/>
      <c r="EK161" s="116"/>
      <c r="EL161" s="116"/>
      <c r="EM161" s="116"/>
      <c r="EN161" s="116"/>
      <c r="EO161" s="116"/>
      <c r="EP161" s="116"/>
      <c r="EQ161" s="116"/>
      <c r="ER161" s="116"/>
      <c r="ES161" s="116"/>
      <c r="ET161" s="116"/>
      <c r="EU161" s="116"/>
      <c r="EV161" s="116"/>
      <c r="EW161" s="116"/>
      <c r="EX161" s="116"/>
      <c r="EY161" s="116"/>
      <c r="EZ161" s="116"/>
      <c r="FA161" s="116"/>
      <c r="FB161" s="116"/>
      <c r="FC161" s="116"/>
      <c r="FD161" s="116"/>
      <c r="FE161" s="116"/>
      <c r="FF161" s="116"/>
      <c r="FG161" s="116"/>
      <c r="FH161" s="116"/>
      <c r="FI161" s="116"/>
      <c r="FJ161" s="116"/>
      <c r="FK161" s="116"/>
      <c r="FL161" s="116"/>
      <c r="FM161" s="116"/>
      <c r="FN161" s="116"/>
      <c r="FO161" s="116"/>
      <c r="FP161" s="116"/>
      <c r="FQ161" s="116"/>
      <c r="FR161" s="116"/>
      <c r="FS161" s="116"/>
      <c r="FT161" s="116"/>
      <c r="FU161" s="116"/>
      <c r="FV161" s="116"/>
      <c r="FW161" s="116"/>
      <c r="FX161" s="116"/>
      <c r="FY161" s="116"/>
      <c r="FZ161" s="116"/>
      <c r="GA161" s="116"/>
      <c r="GB161" s="116"/>
      <c r="GC161" s="116"/>
      <c r="GD161" s="116"/>
      <c r="GE161" s="116"/>
      <c r="GF161" s="116"/>
      <c r="GG161" s="116"/>
      <c r="GH161" s="116"/>
      <c r="GI161" s="116"/>
      <c r="GJ161" s="116"/>
      <c r="GK161" s="116"/>
      <c r="GL161" s="116"/>
      <c r="GM161" s="116"/>
      <c r="GN161" s="116"/>
      <c r="GO161" s="116"/>
      <c r="GP161" s="116"/>
      <c r="GQ161" s="116"/>
      <c r="GR161" s="116"/>
      <c r="GS161" s="116"/>
      <c r="GT161" s="116"/>
      <c r="GU161" s="116"/>
      <c r="GV161" s="116"/>
      <c r="GW161" s="116"/>
      <c r="GX161" s="116"/>
      <c r="GY161" s="116"/>
      <c r="GZ161" s="116"/>
      <c r="HA161" s="116"/>
      <c r="HB161" s="116"/>
      <c r="HC161" s="116"/>
      <c r="HD161" s="116"/>
      <c r="HE161" s="116"/>
      <c r="HF161" s="116"/>
      <c r="HG161" s="116"/>
      <c r="HH161" s="116"/>
      <c r="HI161" s="116"/>
      <c r="HJ161" s="116"/>
      <c r="HK161" s="116"/>
      <c r="HL161" s="116"/>
      <c r="HM161" s="116"/>
      <c r="HN161" s="116"/>
      <c r="HO161" s="116"/>
      <c r="HP161" s="116"/>
      <c r="HQ161" s="116"/>
      <c r="HR161" s="116"/>
      <c r="HS161" s="116"/>
      <c r="HT161" s="116"/>
      <c r="HU161" s="116"/>
      <c r="HV161" s="116"/>
      <c r="HW161" s="116"/>
      <c r="HX161" s="116"/>
      <c r="HY161" s="116"/>
      <c r="HZ161" s="116"/>
      <c r="IA161" s="116"/>
      <c r="IB161" s="116"/>
      <c r="IC161" s="116"/>
      <c r="ID161" s="116"/>
      <c r="IE161" s="116"/>
      <c r="IF161" s="116"/>
      <c r="IG161" s="116"/>
      <c r="IH161" s="116"/>
      <c r="II161" s="116"/>
      <c r="IJ161" s="116"/>
      <c r="IK161" s="116"/>
      <c r="IL161" s="116"/>
      <c r="IM161" s="116"/>
      <c r="IN161" s="116"/>
      <c r="IO161" s="116"/>
      <c r="IP161" s="116"/>
      <c r="IQ161" s="116"/>
      <c r="IR161" s="116"/>
      <c r="IS161" s="116"/>
      <c r="IT161" s="116"/>
      <c r="IU161" s="116"/>
      <c r="IV161" s="116"/>
      <c r="IW161" s="116"/>
    </row>
  </sheetData>
  <mergeCells count="32">
    <mergeCell ref="B15:H15"/>
    <mergeCell ref="B2:C2"/>
    <mergeCell ref="B6:C6"/>
    <mergeCell ref="B14:H14"/>
    <mergeCell ref="B25:H25"/>
    <mergeCell ref="B47:C47"/>
    <mergeCell ref="B52:H52"/>
    <mergeCell ref="B67:C67"/>
    <mergeCell ref="B74:C74"/>
    <mergeCell ref="B78:C78"/>
    <mergeCell ref="B122:F122"/>
    <mergeCell ref="B84:D84"/>
    <mergeCell ref="B85:D85"/>
    <mergeCell ref="F86:G86"/>
    <mergeCell ref="F85:G85"/>
    <mergeCell ref="F84:G84"/>
    <mergeCell ref="B123:F123"/>
    <mergeCell ref="B134:G134"/>
    <mergeCell ref="B24:H24"/>
    <mergeCell ref="B46:C46"/>
    <mergeCell ref="B51:H51"/>
    <mergeCell ref="B66:C66"/>
    <mergeCell ref="B77:C77"/>
    <mergeCell ref="B73:C73"/>
    <mergeCell ref="B132:G132"/>
    <mergeCell ref="B133:G133"/>
    <mergeCell ref="B94:G94"/>
    <mergeCell ref="B95:G95"/>
    <mergeCell ref="B96:G96"/>
    <mergeCell ref="B33:H33"/>
    <mergeCell ref="B60:H60"/>
    <mergeCell ref="B86:D8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DD4E-469A-4796-ACF3-5D5F88357E02}">
  <sheetPr>
    <outlinePr summaryBelow="0"/>
  </sheetPr>
  <dimension ref="B1:J42"/>
  <sheetViews>
    <sheetView showGridLines="0" zoomScaleNormal="100" workbookViewId="0">
      <selection activeCell="F53" sqref="F53"/>
    </sheetView>
  </sheetViews>
  <sheetFormatPr baseColWidth="10" defaultRowHeight="14.4" outlineLevelRow="1" outlineLevelCol="1" x14ac:dyDescent="0.3"/>
  <cols>
    <col min="3" max="3" width="7.21875" bestFit="1" customWidth="1"/>
    <col min="4" max="4" width="16.44140625" hidden="1" customWidth="1" outlineLevel="1"/>
    <col min="5" max="9" width="16.44140625" customWidth="1" outlineLevel="1"/>
    <col min="10" max="10" width="16.44140625" bestFit="1" customWidth="1"/>
  </cols>
  <sheetData>
    <row r="1" spans="2:9" ht="15" thickBot="1" x14ac:dyDescent="0.35"/>
    <row r="2" spans="2:9" ht="15.6" x14ac:dyDescent="0.3">
      <c r="B2" s="294" t="s">
        <v>273</v>
      </c>
      <c r="C2" s="294"/>
      <c r="D2" s="299"/>
      <c r="E2" s="299"/>
      <c r="F2" s="299"/>
      <c r="G2" s="299"/>
      <c r="H2" s="299"/>
      <c r="I2" s="299"/>
    </row>
    <row r="3" spans="2:9" ht="15.6" collapsed="1" x14ac:dyDescent="0.3">
      <c r="B3" s="293"/>
      <c r="C3" s="293"/>
      <c r="D3" s="300" t="s">
        <v>275</v>
      </c>
      <c r="E3" s="301">
        <v>0.2</v>
      </c>
      <c r="F3" s="301">
        <v>0.1</v>
      </c>
      <c r="G3" s="300" t="s">
        <v>271</v>
      </c>
      <c r="H3" s="300" t="s">
        <v>272</v>
      </c>
      <c r="I3" s="301">
        <v>-0.1</v>
      </c>
    </row>
    <row r="4" spans="2:9" ht="64.8" hidden="1" outlineLevel="1" x14ac:dyDescent="0.3">
      <c r="B4" s="296"/>
      <c r="C4" s="296"/>
      <c r="D4" s="288"/>
      <c r="E4" s="303" t="s">
        <v>270</v>
      </c>
      <c r="F4" s="303" t="s">
        <v>270</v>
      </c>
      <c r="G4" s="303" t="s">
        <v>270</v>
      </c>
      <c r="H4" s="303" t="s">
        <v>277</v>
      </c>
      <c r="I4" s="303" t="s">
        <v>270</v>
      </c>
    </row>
    <row r="5" spans="2:9" hidden="1" x14ac:dyDescent="0.3">
      <c r="B5" s="297" t="s">
        <v>274</v>
      </c>
      <c r="C5" s="297"/>
      <c r="D5" s="295"/>
      <c r="E5" s="295"/>
      <c r="F5" s="295"/>
      <c r="G5" s="295"/>
      <c r="H5" s="295"/>
      <c r="I5" s="295"/>
    </row>
    <row r="6" spans="2:9" outlineLevel="1" x14ac:dyDescent="0.3">
      <c r="B6" s="296"/>
      <c r="C6" s="296" t="s">
        <v>285</v>
      </c>
      <c r="D6" s="290">
        <v>347830</v>
      </c>
      <c r="E6" s="302">
        <v>417396</v>
      </c>
      <c r="F6" s="302">
        <v>382613</v>
      </c>
      <c r="G6" s="302">
        <v>347830</v>
      </c>
      <c r="H6" s="302">
        <v>334311.66237781098</v>
      </c>
      <c r="I6" s="302">
        <v>313047</v>
      </c>
    </row>
    <row r="7" spans="2:9" hidden="1" x14ac:dyDescent="0.3">
      <c r="B7" s="297" t="s">
        <v>276</v>
      </c>
      <c r="C7" s="297"/>
      <c r="D7" s="295"/>
      <c r="E7" s="295"/>
      <c r="F7" s="295"/>
      <c r="G7" s="295"/>
      <c r="H7" s="295"/>
      <c r="I7" s="295"/>
    </row>
    <row r="8" spans="2:9" outlineLevel="1" x14ac:dyDescent="0.3">
      <c r="B8" s="296"/>
      <c r="C8" s="296" t="s">
        <v>278</v>
      </c>
      <c r="D8" s="291">
        <v>0.412049650321344</v>
      </c>
      <c r="E8" s="291">
        <v>296.04509372402202</v>
      </c>
      <c r="F8" s="291">
        <v>2.1462434418181102</v>
      </c>
      <c r="G8" s="291">
        <v>0.412049650321344</v>
      </c>
      <c r="H8" s="291">
        <v>0.15833392263631499</v>
      </c>
      <c r="I8" s="291">
        <v>-0.14785462692217199</v>
      </c>
    </row>
    <row r="9" spans="2:9" ht="15" outlineLevel="1" thickBot="1" x14ac:dyDescent="0.35">
      <c r="B9" s="298"/>
      <c r="C9" s="298" t="s">
        <v>263</v>
      </c>
      <c r="D9" s="292">
        <v>15888098138.8904</v>
      </c>
      <c r="E9" s="292">
        <v>97648997002.357407</v>
      </c>
      <c r="F9" s="292">
        <v>56768547570.623901</v>
      </c>
      <c r="G9" s="292">
        <v>15888098138.8904</v>
      </c>
      <c r="H9" s="292">
        <v>6.8034231662750201E-4</v>
      </c>
      <c r="I9" s="292">
        <v>-24992351292.843201</v>
      </c>
    </row>
    <row r="35" spans="2:10" ht="15" thickBot="1" x14ac:dyDescent="0.35"/>
    <row r="36" spans="2:10" ht="15.6" x14ac:dyDescent="0.3">
      <c r="B36" s="294" t="s">
        <v>273</v>
      </c>
      <c r="C36" s="294"/>
      <c r="D36" s="299"/>
      <c r="E36" s="299"/>
      <c r="F36" s="299"/>
      <c r="G36" s="299"/>
      <c r="H36" s="299"/>
      <c r="I36" s="299"/>
      <c r="J36" s="299"/>
    </row>
    <row r="37" spans="2:10" ht="15.6" x14ac:dyDescent="0.3">
      <c r="B37" s="293"/>
      <c r="C37" s="293"/>
      <c r="D37" s="300" t="s">
        <v>275</v>
      </c>
      <c r="E37" s="301">
        <v>0.15</v>
      </c>
      <c r="F37" s="301">
        <v>0.1</v>
      </c>
      <c r="G37" s="300" t="s">
        <v>284</v>
      </c>
      <c r="H37" s="300" t="s">
        <v>281</v>
      </c>
      <c r="I37" s="301">
        <v>-0.1</v>
      </c>
      <c r="J37" s="301">
        <v>-0.15</v>
      </c>
    </row>
    <row r="38" spans="2:10" hidden="1" x14ac:dyDescent="0.3">
      <c r="B38" s="297" t="s">
        <v>274</v>
      </c>
      <c r="C38" s="297"/>
      <c r="D38" s="295"/>
      <c r="E38" s="295"/>
      <c r="F38" s="295"/>
      <c r="G38" s="295"/>
      <c r="H38" s="295"/>
      <c r="I38" s="295"/>
      <c r="J38" s="295"/>
    </row>
    <row r="39" spans="2:10" x14ac:dyDescent="0.3">
      <c r="B39" s="296"/>
      <c r="C39" s="296" t="s">
        <v>286</v>
      </c>
      <c r="D39" s="289">
        <v>0.8</v>
      </c>
      <c r="E39" s="308">
        <v>0.95</v>
      </c>
      <c r="F39" s="308">
        <v>0.9</v>
      </c>
      <c r="G39" s="308">
        <v>0.8</v>
      </c>
      <c r="H39" s="308">
        <v>0.73473005098465805</v>
      </c>
      <c r="I39" s="308">
        <v>0.7</v>
      </c>
      <c r="J39" s="308">
        <v>0.65</v>
      </c>
    </row>
    <row r="40" spans="2:10" hidden="1" x14ac:dyDescent="0.3">
      <c r="B40" s="297" t="s">
        <v>276</v>
      </c>
      <c r="C40" s="297"/>
      <c r="D40" s="295"/>
      <c r="E40" s="295"/>
      <c r="F40" s="295"/>
      <c r="G40" s="295"/>
      <c r="H40" s="295"/>
      <c r="I40" s="295"/>
      <c r="J40" s="295"/>
    </row>
    <row r="41" spans="2:10" x14ac:dyDescent="0.3">
      <c r="B41" s="296"/>
      <c r="C41" s="296" t="s">
        <v>278</v>
      </c>
      <c r="D41" s="291">
        <v>0.412049650321344</v>
      </c>
      <c r="E41" s="291">
        <v>227.23277199417399</v>
      </c>
      <c r="F41" s="291">
        <v>3.49245204207749</v>
      </c>
      <c r="G41" s="291">
        <v>0.412049650321344</v>
      </c>
      <c r="H41" s="291">
        <v>0.158333922636306</v>
      </c>
      <c r="I41" s="291">
        <v>7.6116201397781899E-2</v>
      </c>
      <c r="J41" s="291">
        <v>-1.15268872960231E-2</v>
      </c>
    </row>
    <row r="42" spans="2:10" ht="15" thickBot="1" x14ac:dyDescent="0.35">
      <c r="B42" s="298"/>
      <c r="C42" s="298" t="s">
        <v>263</v>
      </c>
      <c r="D42" s="292">
        <v>15888098138.8904</v>
      </c>
      <c r="E42" s="292">
        <v>52401298421.510002</v>
      </c>
      <c r="F42" s="292">
        <v>40230231660.636803</v>
      </c>
      <c r="G42" s="292">
        <v>15888098138.8904</v>
      </c>
      <c r="H42" s="292">
        <v>3.4864991903305101E-5</v>
      </c>
      <c r="I42" s="292">
        <v>-8454035382.8560305</v>
      </c>
      <c r="J42" s="292">
        <v>-20625102143.729198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D49D-4D50-448A-AFD4-B355CD10FF52}">
  <dimension ref="A2:IZ161"/>
  <sheetViews>
    <sheetView showGridLines="0" topLeftCell="B1" zoomScale="80" zoomScaleNormal="80" workbookViewId="0">
      <selection activeCell="K30" sqref="K30"/>
    </sheetView>
  </sheetViews>
  <sheetFormatPr baseColWidth="10" defaultColWidth="11.44140625" defaultRowHeight="15.6" x14ac:dyDescent="0.3"/>
  <cols>
    <col min="1" max="1" width="11.44140625" style="1"/>
    <col min="2" max="2" width="55.6640625" style="1" customWidth="1"/>
    <col min="3" max="3" width="36.6640625" style="1" bestFit="1" customWidth="1"/>
    <col min="4" max="4" width="46.33203125" style="1" bestFit="1" customWidth="1"/>
    <col min="5" max="5" width="34.109375" style="1" bestFit="1" customWidth="1"/>
    <col min="6" max="6" width="25.44140625" style="1" bestFit="1" customWidth="1"/>
    <col min="7" max="7" width="40.5546875" style="1" bestFit="1" customWidth="1"/>
    <col min="8" max="8" width="25.44140625" style="1" bestFit="1" customWidth="1"/>
    <col min="9" max="9" width="26" style="1" bestFit="1" customWidth="1"/>
    <col min="10" max="12" width="26" style="1" customWidth="1"/>
    <col min="13" max="13" width="11.109375" style="1" bestFit="1" customWidth="1"/>
    <col min="14" max="14" width="16.5546875" style="1" bestFit="1" customWidth="1"/>
    <col min="15" max="16384" width="11.44140625" style="1"/>
  </cols>
  <sheetData>
    <row r="2" spans="2:15" s="70" customFormat="1" x14ac:dyDescent="0.3">
      <c r="B2" s="379" t="s">
        <v>83</v>
      </c>
      <c r="C2" s="379"/>
    </row>
    <row r="3" spans="2:15" s="70" customFormat="1" x14ac:dyDescent="0.3">
      <c r="B3" s="105" t="s">
        <v>84</v>
      </c>
      <c r="C3" s="171" t="s">
        <v>82</v>
      </c>
      <c r="D3" s="108" t="s">
        <v>81</v>
      </c>
    </row>
    <row r="4" spans="2:15" s="70" customFormat="1" x14ac:dyDescent="0.3">
      <c r="B4" s="106" t="s">
        <v>85</v>
      </c>
      <c r="C4" s="107">
        <v>45981</v>
      </c>
      <c r="D4" s="109" t="s">
        <v>80</v>
      </c>
      <c r="E4" s="72"/>
      <c r="F4" s="72"/>
    </row>
    <row r="5" spans="2:15" s="70" customFormat="1" x14ac:dyDescent="0.3">
      <c r="B5" s="71"/>
      <c r="C5" s="72"/>
      <c r="E5" s="72"/>
      <c r="F5" s="72"/>
    </row>
    <row r="6" spans="2:15" s="70" customFormat="1" x14ac:dyDescent="0.3">
      <c r="B6" s="380" t="s">
        <v>75</v>
      </c>
      <c r="C6" s="380"/>
      <c r="F6" s="72"/>
    </row>
    <row r="7" spans="2:15" s="75" customFormat="1" x14ac:dyDescent="0.3">
      <c r="B7" s="103" t="s">
        <v>76</v>
      </c>
      <c r="C7" s="104" t="s">
        <v>86</v>
      </c>
      <c r="D7" s="73"/>
      <c r="E7" s="74"/>
      <c r="F7" s="73"/>
      <c r="G7" s="73"/>
      <c r="H7" s="73"/>
    </row>
    <row r="8" spans="2:15" s="75" customFormat="1" x14ac:dyDescent="0.3">
      <c r="B8" s="103">
        <f>+D17</f>
        <v>1</v>
      </c>
      <c r="C8" s="114">
        <f>+'PROYECCIONES Y ESTIMACIONES'!M8</f>
        <v>6.1710000000000001E-2</v>
      </c>
      <c r="D8" s="73"/>
      <c r="E8" s="76"/>
      <c r="F8" s="73"/>
      <c r="G8" s="73"/>
      <c r="H8" s="73"/>
    </row>
    <row r="9" spans="2:15" s="75" customFormat="1" x14ac:dyDescent="0.3">
      <c r="B9" s="103">
        <f>+B8+1</f>
        <v>2</v>
      </c>
      <c r="C9" s="114">
        <f>+'PROYECCIONES Y ESTIMACIONES'!M9</f>
        <v>5.7785000000000003E-2</v>
      </c>
      <c r="D9" s="73"/>
      <c r="E9" s="76"/>
      <c r="F9" s="73"/>
      <c r="G9" s="73"/>
      <c r="H9" s="73"/>
    </row>
    <row r="10" spans="2:15" s="75" customFormat="1" x14ac:dyDescent="0.3">
      <c r="B10" s="103">
        <f>+B9+1</f>
        <v>3</v>
      </c>
      <c r="C10" s="114">
        <f>+'PROYECCIONES Y ESTIMACIONES'!M10</f>
        <v>5.8425500000000005E-2</v>
      </c>
      <c r="D10" s="73"/>
      <c r="E10" s="76"/>
      <c r="F10" s="73"/>
      <c r="G10" s="73"/>
      <c r="H10" s="73"/>
    </row>
    <row r="11" spans="2:15" s="75" customFormat="1" x14ac:dyDescent="0.3">
      <c r="B11" s="103">
        <f>+B10+1</f>
        <v>4</v>
      </c>
      <c r="C11" s="114">
        <f>+'PROYECCIONES Y ESTIMACIONES'!M11</f>
        <v>5.8890250000000005E-2</v>
      </c>
      <c r="D11" s="73"/>
      <c r="E11" s="76"/>
      <c r="F11" s="73" t="s">
        <v>264</v>
      </c>
      <c r="G11" s="304">
        <v>334311.66237781098</v>
      </c>
      <c r="H11" s="73" t="s">
        <v>265</v>
      </c>
    </row>
    <row r="12" spans="2:15" s="75" customFormat="1" x14ac:dyDescent="0.3">
      <c r="B12" s="103">
        <f>+B11+1</f>
        <v>5</v>
      </c>
      <c r="C12" s="114">
        <f>+'PROYECCIONES Y ESTIMACIONES'!M12</f>
        <v>5.8529775000000006E-2</v>
      </c>
      <c r="D12" s="73"/>
      <c r="E12" s="76"/>
      <c r="F12" s="73" t="s">
        <v>279</v>
      </c>
      <c r="G12" s="305">
        <v>0.73473005098465805</v>
      </c>
      <c r="H12" s="73"/>
      <c r="O12" s="251"/>
    </row>
    <row r="13" spans="2:15" s="75" customFormat="1" x14ac:dyDescent="0.3">
      <c r="B13" s="77"/>
      <c r="C13" s="78"/>
      <c r="D13" s="73"/>
      <c r="E13" s="76"/>
      <c r="F13" s="73"/>
      <c r="G13" s="73"/>
      <c r="H13" s="73"/>
      <c r="O13" s="251"/>
    </row>
    <row r="14" spans="2:15" s="75" customFormat="1" x14ac:dyDescent="0.3">
      <c r="B14" s="370" t="s">
        <v>77</v>
      </c>
      <c r="C14" s="370"/>
      <c r="D14" s="370"/>
      <c r="E14" s="370"/>
      <c r="F14" s="370"/>
      <c r="G14" s="370"/>
      <c r="H14" s="370"/>
      <c r="O14" s="251"/>
    </row>
    <row r="15" spans="2:15" s="75" customFormat="1" x14ac:dyDescent="0.3">
      <c r="B15" s="378" t="s">
        <v>78</v>
      </c>
      <c r="C15" s="378"/>
      <c r="D15" s="378"/>
      <c r="E15" s="378"/>
      <c r="F15" s="378"/>
      <c r="G15" s="378"/>
      <c r="H15" s="378"/>
      <c r="O15" s="251"/>
    </row>
    <row r="16" spans="2:15" s="75" customFormat="1" x14ac:dyDescent="0.3">
      <c r="B16" s="146"/>
      <c r="C16" s="146" t="str">
        <f>+D4</f>
        <v>Pesos colombianos</v>
      </c>
      <c r="D16" s="146"/>
      <c r="E16" s="146"/>
      <c r="F16" s="146"/>
      <c r="G16" s="146"/>
      <c r="H16" s="146"/>
      <c r="N16" s="250"/>
      <c r="O16" s="251"/>
    </row>
    <row r="17" spans="1:260" s="75" customFormat="1" x14ac:dyDescent="0.3">
      <c r="B17" s="147" t="s">
        <v>76</v>
      </c>
      <c r="C17" s="39">
        <v>0</v>
      </c>
      <c r="D17" s="39">
        <f>+C17+1</f>
        <v>1</v>
      </c>
      <c r="E17" s="39">
        <f>+D17+1</f>
        <v>2</v>
      </c>
      <c r="F17" s="39">
        <f>+E17+1</f>
        <v>3</v>
      </c>
      <c r="G17" s="39">
        <f>+F17+1</f>
        <v>4</v>
      </c>
      <c r="H17" s="39">
        <f>+G17+1</f>
        <v>5</v>
      </c>
      <c r="I17" s="79"/>
      <c r="J17" s="79"/>
      <c r="K17" s="79"/>
      <c r="L17" s="79"/>
      <c r="M17" s="283">
        <v>0.1</v>
      </c>
      <c r="N17" s="79"/>
      <c r="O17" s="24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79"/>
      <c r="FF17" s="79"/>
      <c r="FG17" s="79"/>
      <c r="FH17" s="79"/>
      <c r="FI17" s="79"/>
      <c r="FJ17" s="79"/>
      <c r="FK17" s="79"/>
      <c r="FL17" s="79"/>
      <c r="FM17" s="79"/>
      <c r="FN17" s="79"/>
      <c r="FO17" s="79"/>
      <c r="FP17" s="79"/>
      <c r="FQ17" s="79"/>
      <c r="FR17" s="79"/>
      <c r="FS17" s="79"/>
      <c r="FT17" s="79"/>
      <c r="FU17" s="79"/>
      <c r="FV17" s="79"/>
      <c r="FW17" s="79"/>
      <c r="FX17" s="79"/>
      <c r="FY17" s="79"/>
      <c r="FZ17" s="79"/>
      <c r="GA17" s="79"/>
      <c r="GB17" s="79"/>
      <c r="GC17" s="79"/>
      <c r="GD17" s="79"/>
      <c r="GE17" s="79"/>
      <c r="GF17" s="79"/>
      <c r="GG17" s="79"/>
      <c r="GH17" s="79"/>
      <c r="GI17" s="79"/>
      <c r="GJ17" s="79"/>
      <c r="GK17" s="79"/>
      <c r="GL17" s="79"/>
      <c r="GM17" s="79"/>
      <c r="GN17" s="79"/>
      <c r="GO17" s="79"/>
      <c r="GP17" s="79"/>
      <c r="GQ17" s="79"/>
      <c r="GR17" s="79"/>
      <c r="GS17" s="79"/>
      <c r="GT17" s="79"/>
      <c r="GU17" s="79"/>
      <c r="GV17" s="79"/>
      <c r="GW17" s="79"/>
      <c r="GX17" s="79"/>
      <c r="GY17" s="79"/>
      <c r="GZ17" s="79"/>
      <c r="HA17" s="79"/>
      <c r="HB17" s="79"/>
      <c r="HC17" s="79"/>
      <c r="HD17" s="79"/>
      <c r="HE17" s="79"/>
      <c r="HF17" s="79"/>
      <c r="HG17" s="79"/>
      <c r="HH17" s="79"/>
      <c r="HI17" s="79"/>
      <c r="HJ17" s="79"/>
      <c r="HK17" s="79"/>
      <c r="HL17" s="79"/>
      <c r="HM17" s="79"/>
      <c r="HN17" s="79"/>
      <c r="HO17" s="79"/>
      <c r="HP17" s="79"/>
      <c r="HQ17" s="79"/>
      <c r="HR17" s="79"/>
      <c r="HS17" s="79"/>
      <c r="HT17" s="79"/>
      <c r="HU17" s="79"/>
      <c r="HV17" s="79"/>
      <c r="HW17" s="79"/>
      <c r="HX17" s="79"/>
      <c r="HY17" s="79"/>
      <c r="HZ17" s="79"/>
      <c r="IA17" s="79"/>
      <c r="IB17" s="79"/>
      <c r="IC17" s="79"/>
      <c r="ID17" s="79"/>
      <c r="IE17" s="79"/>
      <c r="IF17" s="79"/>
      <c r="IG17" s="79"/>
      <c r="IH17" s="79"/>
      <c r="II17" s="79"/>
      <c r="IJ17" s="79"/>
      <c r="IK17" s="79"/>
      <c r="IL17" s="79"/>
      <c r="IM17" s="79"/>
      <c r="IN17" s="79"/>
      <c r="IO17" s="79"/>
      <c r="IP17" s="79"/>
      <c r="IQ17" s="79"/>
      <c r="IR17" s="79"/>
      <c r="IS17" s="79"/>
      <c r="IT17" s="79"/>
      <c r="IU17" s="79"/>
      <c r="IV17" s="79"/>
      <c r="IW17" s="79"/>
      <c r="IX17" s="79"/>
      <c r="IY17" s="79"/>
      <c r="IZ17" s="79"/>
    </row>
    <row r="18" spans="1:260" s="80" customFormat="1" x14ac:dyDescent="0.3">
      <c r="A18" s="75"/>
      <c r="B18" s="268" t="s">
        <v>259</v>
      </c>
      <c r="C18" s="110"/>
      <c r="D18" s="111">
        <v>390000</v>
      </c>
      <c r="E18" s="111">
        <f>+'PROYECCIONES Y ESTIMACIONES'!E4</f>
        <v>409500</v>
      </c>
      <c r="F18" s="111">
        <f>+'PROYECCIONES Y ESTIMACIONES'!F4</f>
        <v>429975</v>
      </c>
      <c r="G18" s="111">
        <f>+'PROYECCIONES Y ESTIMACIONES'!G4</f>
        <v>451474</v>
      </c>
      <c r="H18" s="111">
        <f>+'PROYECCIONES Y ESTIMACIONES'!H4</f>
        <v>474048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</row>
    <row r="19" spans="1:260" s="80" customFormat="1" x14ac:dyDescent="0.3">
      <c r="A19" s="75"/>
      <c r="B19" s="134" t="s">
        <v>260</v>
      </c>
      <c r="C19" s="110"/>
      <c r="D19" s="248">
        <v>0.8</v>
      </c>
      <c r="E19" s="248">
        <f>+D19</f>
        <v>0.8</v>
      </c>
      <c r="F19" s="248">
        <v>1</v>
      </c>
      <c r="G19" s="248">
        <v>1</v>
      </c>
      <c r="H19" s="248">
        <v>1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</row>
    <row r="20" spans="1:260" s="80" customFormat="1" x14ac:dyDescent="0.3">
      <c r="A20" s="75"/>
      <c r="B20" s="134" t="s">
        <v>219</v>
      </c>
      <c r="C20" s="110"/>
      <c r="D20" s="111">
        <f>+D18*D19</f>
        <v>312000</v>
      </c>
      <c r="E20" s="111">
        <f>+E18*E19</f>
        <v>327600</v>
      </c>
      <c r="F20" s="111">
        <f t="shared" ref="F20:H20" si="0">+F18*F19</f>
        <v>429975</v>
      </c>
      <c r="G20" s="111">
        <f t="shared" si="0"/>
        <v>451474</v>
      </c>
      <c r="H20" s="111">
        <f t="shared" si="0"/>
        <v>474048</v>
      </c>
      <c r="I20" s="75"/>
      <c r="J20" s="284" t="s">
        <v>268</v>
      </c>
      <c r="K20" s="286">
        <f>K22*1.2</f>
        <v>417396</v>
      </c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</row>
    <row r="21" spans="1:260" s="75" customFormat="1" x14ac:dyDescent="0.3">
      <c r="B21" s="148" t="s">
        <v>87</v>
      </c>
      <c r="C21" s="112">
        <v>347830</v>
      </c>
      <c r="D21" s="112">
        <f>+C21*(1+C8)</f>
        <v>369294.58929999999</v>
      </c>
      <c r="E21" s="112">
        <f>+D21*(1+C9)</f>
        <v>390634.27714270051</v>
      </c>
      <c r="F21" s="112">
        <f>+E21*(1+C10)</f>
        <v>413457.28010190139</v>
      </c>
      <c r="G21" s="112">
        <f>+F21*(1+C11)</f>
        <v>437805.88269142236</v>
      </c>
      <c r="H21" s="112">
        <f>+G21*(1+C12)</f>
        <v>463430.5624990277</v>
      </c>
      <c r="J21" s="284" t="s">
        <v>267</v>
      </c>
      <c r="K21" s="286">
        <f>K22*1.1</f>
        <v>382613.00000000006</v>
      </c>
    </row>
    <row r="22" spans="1:260" s="75" customFormat="1" x14ac:dyDescent="0.3">
      <c r="B22" s="134" t="s">
        <v>79</v>
      </c>
      <c r="C22" s="113">
        <v>0</v>
      </c>
      <c r="D22" s="112">
        <f>+D20*D21</f>
        <v>115219911861.59999</v>
      </c>
      <c r="E22" s="112">
        <f>+E20*E21</f>
        <v>127971789191.94868</v>
      </c>
      <c r="F22" s="112">
        <f t="shared" ref="F22:H22" si="1">+F20*F21</f>
        <v>177776294011.81506</v>
      </c>
      <c r="G22" s="112">
        <f t="shared" si="1"/>
        <v>197657973082.22723</v>
      </c>
      <c r="H22" s="112">
        <f t="shared" si="1"/>
        <v>219688331291.53909</v>
      </c>
      <c r="J22" s="75" t="s">
        <v>266</v>
      </c>
      <c r="K22" s="286">
        <v>347830</v>
      </c>
    </row>
    <row r="23" spans="1:260" x14ac:dyDescent="0.3">
      <c r="J23" s="1" t="s">
        <v>264</v>
      </c>
      <c r="K23" s="287">
        <f>G11</f>
        <v>334311.66237781098</v>
      </c>
    </row>
    <row r="24" spans="1:260" x14ac:dyDescent="0.3">
      <c r="B24" s="370" t="s">
        <v>135</v>
      </c>
      <c r="C24" s="370"/>
      <c r="D24" s="370"/>
      <c r="E24" s="370"/>
      <c r="F24" s="370"/>
      <c r="G24" s="370"/>
      <c r="H24" s="370"/>
      <c r="I24" s="116"/>
      <c r="J24" s="285" t="s">
        <v>269</v>
      </c>
      <c r="K24" s="234">
        <f>K22*0.9</f>
        <v>313047</v>
      </c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/>
      <c r="IZ24" s="116"/>
    </row>
    <row r="25" spans="1:260" x14ac:dyDescent="0.3">
      <c r="B25" s="377" t="s">
        <v>136</v>
      </c>
      <c r="C25" s="377"/>
      <c r="D25" s="377"/>
      <c r="E25" s="377"/>
      <c r="F25" s="377"/>
      <c r="G25" s="377"/>
      <c r="H25" s="377"/>
      <c r="I25" s="116"/>
      <c r="J25" s="285"/>
      <c r="K25" s="234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D25" s="116"/>
      <c r="EE25" s="116"/>
      <c r="EF25" s="116"/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116"/>
      <c r="FF25" s="116"/>
      <c r="FG25" s="116"/>
      <c r="FH25" s="116"/>
      <c r="FI25" s="116"/>
      <c r="FJ25" s="116"/>
      <c r="FK25" s="116"/>
      <c r="FL25" s="116"/>
      <c r="FM25" s="116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116"/>
      <c r="FY25" s="116"/>
      <c r="FZ25" s="116"/>
      <c r="GA25" s="116"/>
      <c r="GB25" s="116"/>
      <c r="GC25" s="116"/>
      <c r="GD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6"/>
      <c r="GU25" s="116"/>
      <c r="GV25" s="116"/>
      <c r="GW25" s="116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16"/>
      <c r="HI25" s="116"/>
      <c r="HJ25" s="116"/>
      <c r="HK25" s="116"/>
      <c r="HL25" s="116"/>
      <c r="HM25" s="116"/>
      <c r="HN25" s="116"/>
      <c r="HO25" s="116"/>
      <c r="HP25" s="116"/>
      <c r="HQ25" s="116"/>
      <c r="HR25" s="116"/>
      <c r="HS25" s="116"/>
      <c r="HT25" s="116"/>
      <c r="HU25" s="116"/>
      <c r="HV25" s="116"/>
      <c r="HW25" s="116"/>
      <c r="HX25" s="116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  <c r="IX25" s="116"/>
      <c r="IY25" s="116"/>
      <c r="IZ25" s="116"/>
    </row>
    <row r="26" spans="1:260" s="75" customFormat="1" x14ac:dyDescent="0.3">
      <c r="B26" s="147" t="s">
        <v>76</v>
      </c>
      <c r="C26" s="39">
        <v>0</v>
      </c>
      <c r="D26" s="39">
        <f>+C26+1</f>
        <v>1</v>
      </c>
      <c r="E26" s="39">
        <f>+D26+1</f>
        <v>2</v>
      </c>
      <c r="F26" s="39">
        <f>+E26+1</f>
        <v>3</v>
      </c>
      <c r="G26" s="39">
        <f>+F26+1</f>
        <v>4</v>
      </c>
      <c r="H26" s="39">
        <f>+G26+1</f>
        <v>5</v>
      </c>
      <c r="I26" s="79"/>
      <c r="J26" s="79"/>
      <c r="K26" s="79"/>
      <c r="L26" s="79"/>
      <c r="M26" s="79"/>
      <c r="N26" s="79"/>
      <c r="O26" s="24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79"/>
      <c r="FF26" s="79"/>
      <c r="FG26" s="79"/>
      <c r="FH26" s="79"/>
      <c r="FI26" s="79"/>
      <c r="FJ26" s="79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79"/>
      <c r="GE26" s="79"/>
      <c r="GF26" s="79"/>
      <c r="GG26" s="79"/>
      <c r="GH26" s="79"/>
      <c r="GI26" s="79"/>
      <c r="GJ26" s="79"/>
      <c r="GK26" s="79"/>
      <c r="GL26" s="79"/>
      <c r="GM26" s="79"/>
      <c r="GN26" s="79"/>
      <c r="GO26" s="79"/>
      <c r="GP26" s="79"/>
      <c r="GQ26" s="79"/>
      <c r="GR26" s="79"/>
      <c r="GS26" s="79"/>
      <c r="GT26" s="79"/>
      <c r="GU26" s="79"/>
      <c r="GV26" s="79"/>
      <c r="GW26" s="79"/>
      <c r="GX26" s="79"/>
      <c r="GY26" s="79"/>
      <c r="GZ26" s="79"/>
      <c r="HA26" s="79"/>
      <c r="HB26" s="79"/>
      <c r="HC26" s="79"/>
      <c r="HD26" s="79"/>
      <c r="HE26" s="79"/>
      <c r="HF26" s="79"/>
      <c r="HG26" s="79"/>
      <c r="HH26" s="79"/>
      <c r="HI26" s="79"/>
      <c r="HJ26" s="79"/>
      <c r="HK26" s="79"/>
      <c r="HL26" s="79"/>
      <c r="HM26" s="79"/>
      <c r="HN26" s="79"/>
      <c r="HO26" s="79"/>
      <c r="HP26" s="79"/>
      <c r="HQ26" s="79"/>
      <c r="HR26" s="79"/>
      <c r="HS26" s="79"/>
      <c r="HT26" s="79"/>
      <c r="HU26" s="79"/>
      <c r="HV26" s="79"/>
      <c r="HW26" s="79"/>
      <c r="HX26" s="79"/>
      <c r="HY26" s="79"/>
      <c r="HZ26" s="79"/>
      <c r="IA26" s="79"/>
      <c r="IB26" s="79"/>
      <c r="IC26" s="79"/>
      <c r="ID26" s="79"/>
      <c r="IE26" s="79"/>
      <c r="IF26" s="79"/>
      <c r="IG26" s="79"/>
      <c r="IH26" s="79"/>
      <c r="II26" s="79"/>
      <c r="IJ26" s="79"/>
      <c r="IK26" s="79"/>
      <c r="IL26" s="79"/>
      <c r="IM26" s="79"/>
      <c r="IN26" s="79"/>
      <c r="IO26" s="79"/>
      <c r="IP26" s="79"/>
      <c r="IQ26" s="79"/>
      <c r="IR26" s="79"/>
      <c r="IS26" s="79"/>
      <c r="IT26" s="79"/>
      <c r="IU26" s="79"/>
      <c r="IV26" s="79"/>
      <c r="IW26" s="79"/>
      <c r="IX26" s="79"/>
      <c r="IY26" s="79"/>
      <c r="IZ26" s="79"/>
    </row>
    <row r="27" spans="1:260" x14ac:dyDescent="0.3">
      <c r="B27" s="138" t="s">
        <v>137</v>
      </c>
      <c r="C27" s="252">
        <f>+SUM('CALCULO COSTOS E INVERSIONES'!G9:G24)</f>
        <v>30705000</v>
      </c>
      <c r="D27" s="252">
        <f>+SUM('CALCULO COSTOS E INVERSIONES'!J9:J23)</f>
        <v>0</v>
      </c>
      <c r="E27" s="252">
        <f>+SUM('CALCULO COSTOS E INVERSIONES'!M9:M23)</f>
        <v>11674218.183878249</v>
      </c>
      <c r="F27" s="252">
        <f>+SUM('CALCULO COSTOS E INVERSIONES'!P9:P23)</f>
        <v>0</v>
      </c>
      <c r="G27" s="252">
        <f>+SUM('CALCULO COSTOS E INVERSIONES'!S9:S23)</f>
        <v>0</v>
      </c>
      <c r="H27" s="252">
        <f>+SUM('CALCULO COSTOS E INVERSIONES'!V9:V23)</f>
        <v>2398226.1808879329</v>
      </c>
      <c r="I27" s="129"/>
      <c r="J27" s="307" t="s">
        <v>282</v>
      </c>
      <c r="K27" s="129">
        <v>0.95</v>
      </c>
      <c r="L27" s="129"/>
      <c r="M27" s="130"/>
      <c r="N27" s="129"/>
      <c r="O27" s="130"/>
      <c r="P27" s="130"/>
      <c r="Q27" s="130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  <c r="IX27" s="116"/>
      <c r="IY27" s="116"/>
      <c r="IZ27" s="116"/>
    </row>
    <row r="28" spans="1:260" x14ac:dyDescent="0.3">
      <c r="B28" s="138" t="s">
        <v>138</v>
      </c>
      <c r="C28" s="252">
        <f>+SUM('CALCULO COSTOS E INVERSIONES'!G25:G29)</f>
        <v>40000000</v>
      </c>
      <c r="D28" s="253">
        <v>0</v>
      </c>
      <c r="E28" s="253">
        <v>0</v>
      </c>
      <c r="F28" s="253">
        <v>0</v>
      </c>
      <c r="G28" s="253">
        <v>0</v>
      </c>
      <c r="H28" s="253">
        <v>0</v>
      </c>
      <c r="I28" s="129"/>
      <c r="J28" s="306" t="s">
        <v>267</v>
      </c>
      <c r="K28" s="129">
        <v>0.9</v>
      </c>
      <c r="L28" s="129"/>
      <c r="M28" s="130"/>
      <c r="N28" s="129"/>
      <c r="O28" s="130"/>
      <c r="P28" s="130"/>
      <c r="Q28" s="130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</row>
    <row r="29" spans="1:260" x14ac:dyDescent="0.3">
      <c r="B29" s="138" t="s">
        <v>139</v>
      </c>
      <c r="C29" s="252">
        <v>0</v>
      </c>
      <c r="D29" s="253">
        <v>0</v>
      </c>
      <c r="E29" s="252">
        <v>0</v>
      </c>
      <c r="F29" s="253">
        <v>0</v>
      </c>
      <c r="G29" s="252">
        <v>0</v>
      </c>
      <c r="H29" s="253"/>
      <c r="I29" s="129"/>
      <c r="J29" s="129" t="s">
        <v>280</v>
      </c>
      <c r="K29" s="129">
        <v>0.8</v>
      </c>
      <c r="L29" s="129"/>
      <c r="M29" s="130"/>
      <c r="N29" s="130"/>
      <c r="O29" s="130"/>
      <c r="P29" s="129"/>
      <c r="Q29" s="130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  <c r="IY29" s="116"/>
      <c r="IZ29" s="116"/>
    </row>
    <row r="30" spans="1:260" x14ac:dyDescent="0.3">
      <c r="B30" s="138" t="s">
        <v>140</v>
      </c>
      <c r="C30" s="254">
        <f>+C43</f>
        <v>0</v>
      </c>
      <c r="D30" s="254">
        <f>+D44</f>
        <v>9426013316.5295601</v>
      </c>
      <c r="E30" s="254">
        <f t="shared" ref="E30:H30" si="2">+E44</f>
        <v>968283302.43560219</v>
      </c>
      <c r="F30" s="254">
        <f t="shared" si="2"/>
        <v>1219966080.0382061</v>
      </c>
      <c r="G30" s="254">
        <f t="shared" si="2"/>
        <v>1208294085.2667618</v>
      </c>
      <c r="H30" s="254">
        <f t="shared" si="2"/>
        <v>1333269502.1509628</v>
      </c>
      <c r="I30" s="129"/>
      <c r="J30" s="129" t="s">
        <v>281</v>
      </c>
      <c r="K30" s="129">
        <v>0.73473005098465805</v>
      </c>
      <c r="L30" s="129"/>
      <c r="M30" s="130"/>
      <c r="N30" s="129"/>
      <c r="O30" s="131"/>
      <c r="P30" s="130"/>
      <c r="Q30" s="130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  <c r="IY30" s="116"/>
      <c r="IZ30" s="116"/>
    </row>
    <row r="31" spans="1:260" x14ac:dyDescent="0.3">
      <c r="B31" s="133" t="s">
        <v>141</v>
      </c>
      <c r="C31" s="172">
        <f>+SUM(C27:C30)</f>
        <v>70705000</v>
      </c>
      <c r="D31" s="172">
        <f>+SUM(D27:D30)</f>
        <v>9426013316.5295601</v>
      </c>
      <c r="E31" s="172">
        <f>+SUM(E27:E30)</f>
        <v>979957520.61948049</v>
      </c>
      <c r="F31" s="172">
        <f t="shared" ref="F31:H31" si="3">+SUM(F27:F30)</f>
        <v>1219966080.0382061</v>
      </c>
      <c r="G31" s="172">
        <f t="shared" si="3"/>
        <v>1208294085.2667618</v>
      </c>
      <c r="H31" s="172">
        <f t="shared" si="3"/>
        <v>1335667728.3318508</v>
      </c>
      <c r="I31" s="129"/>
      <c r="J31" s="307" t="s">
        <v>269</v>
      </c>
      <c r="K31" s="129">
        <v>0.7</v>
      </c>
      <c r="L31" s="129"/>
      <c r="M31" s="130"/>
      <c r="N31" s="130"/>
      <c r="O31" s="130"/>
      <c r="P31" s="130"/>
      <c r="Q31" s="1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  <c r="IY31" s="116"/>
      <c r="IZ31" s="116"/>
    </row>
    <row r="32" spans="1:260" x14ac:dyDescent="0.3">
      <c r="B32" s="139"/>
      <c r="C32" s="136"/>
      <c r="D32" s="132"/>
      <c r="E32" s="132"/>
      <c r="F32" s="132"/>
      <c r="G32" s="132"/>
      <c r="H32" s="132"/>
      <c r="I32" s="129"/>
      <c r="J32" s="307" t="s">
        <v>283</v>
      </c>
      <c r="K32" s="129">
        <v>0.65</v>
      </c>
      <c r="L32" s="129"/>
      <c r="M32" s="130"/>
      <c r="N32" s="130"/>
      <c r="O32" s="130"/>
      <c r="P32" s="130"/>
      <c r="Q32" s="1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</row>
    <row r="33" spans="2:260" x14ac:dyDescent="0.3">
      <c r="B33" s="374" t="s">
        <v>246</v>
      </c>
      <c r="C33" s="374"/>
      <c r="D33" s="374"/>
      <c r="E33" s="374"/>
      <c r="F33" s="374"/>
      <c r="G33" s="374"/>
      <c r="H33" s="374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  <c r="DM33" s="116"/>
      <c r="DN33" s="116"/>
      <c r="DO33" s="116"/>
      <c r="DP33" s="116"/>
      <c r="DQ33" s="116"/>
      <c r="DR33" s="116"/>
      <c r="DS33" s="116"/>
      <c r="DT33" s="116"/>
      <c r="DU33" s="116"/>
      <c r="DV33" s="116"/>
      <c r="DW33" s="116"/>
      <c r="DX33" s="116"/>
      <c r="DY33" s="116"/>
      <c r="DZ33" s="116"/>
      <c r="EA33" s="116"/>
      <c r="EB33" s="116"/>
      <c r="EC33" s="116"/>
      <c r="ED33" s="116"/>
      <c r="EE33" s="116"/>
      <c r="EF33" s="116"/>
      <c r="EG33" s="116"/>
      <c r="EH33" s="116"/>
      <c r="EI33" s="116"/>
      <c r="EJ33" s="116"/>
      <c r="EK33" s="116"/>
      <c r="EL33" s="116"/>
      <c r="EM33" s="116"/>
      <c r="EN33" s="116"/>
      <c r="EO33" s="116"/>
      <c r="EP33" s="116"/>
      <c r="EQ33" s="116"/>
      <c r="ER33" s="116"/>
      <c r="ES33" s="116"/>
      <c r="ET33" s="116"/>
      <c r="EU33" s="116"/>
      <c r="EV33" s="116"/>
      <c r="EW33" s="116"/>
      <c r="EX33" s="116"/>
      <c r="EY33" s="116"/>
      <c r="EZ33" s="116"/>
      <c r="FA33" s="116"/>
      <c r="FB33" s="116"/>
      <c r="FC33" s="116"/>
      <c r="FD33" s="116"/>
      <c r="FE33" s="116"/>
      <c r="FF33" s="116"/>
      <c r="FG33" s="116"/>
      <c r="FH33" s="116"/>
      <c r="FI33" s="116"/>
      <c r="FJ33" s="116"/>
      <c r="FK33" s="116"/>
      <c r="FL33" s="116"/>
      <c r="FM33" s="116"/>
      <c r="FN33" s="116"/>
      <c r="FO33" s="116"/>
      <c r="FP33" s="116"/>
      <c r="FQ33" s="116"/>
      <c r="FR33" s="116"/>
      <c r="FS33" s="116"/>
      <c r="FT33" s="116"/>
      <c r="FU33" s="116"/>
      <c r="FV33" s="116"/>
      <c r="FW33" s="116"/>
      <c r="FX33" s="116"/>
      <c r="FY33" s="116"/>
      <c r="FZ33" s="116"/>
      <c r="GA33" s="116"/>
      <c r="GB33" s="116"/>
      <c r="GC33" s="116"/>
      <c r="GD33" s="116"/>
      <c r="GE33" s="116"/>
      <c r="GF33" s="116"/>
      <c r="GG33" s="116"/>
      <c r="GH33" s="116"/>
      <c r="GI33" s="116"/>
      <c r="GJ33" s="116"/>
      <c r="GK33" s="116"/>
      <c r="GL33" s="116"/>
      <c r="GM33" s="116"/>
      <c r="GN33" s="116"/>
      <c r="GO33" s="116"/>
      <c r="GP33" s="116"/>
      <c r="GQ33" s="116"/>
      <c r="GR33" s="116"/>
      <c r="GS33" s="116"/>
      <c r="GT33" s="116"/>
      <c r="GU33" s="116"/>
      <c r="GV33" s="116"/>
      <c r="GW33" s="116"/>
      <c r="GX33" s="116"/>
      <c r="GY33" s="116"/>
      <c r="GZ33" s="116"/>
      <c r="HA33" s="116"/>
      <c r="HB33" s="116"/>
      <c r="HC33" s="116"/>
      <c r="HD33" s="116"/>
      <c r="HE33" s="116"/>
      <c r="HF33" s="116"/>
      <c r="HG33" s="116"/>
      <c r="HH33" s="116"/>
      <c r="HI33" s="116"/>
      <c r="HJ33" s="116"/>
      <c r="HK33" s="116"/>
      <c r="HL33" s="116"/>
      <c r="HM33" s="116"/>
      <c r="HN33" s="116"/>
      <c r="HO33" s="116"/>
      <c r="HP33" s="116"/>
      <c r="HQ33" s="116"/>
      <c r="HR33" s="116"/>
      <c r="HS33" s="116"/>
      <c r="HT33" s="116"/>
      <c r="HU33" s="116"/>
      <c r="HV33" s="116"/>
      <c r="HW33" s="116"/>
      <c r="HX33" s="116"/>
      <c r="HY33" s="116"/>
      <c r="HZ33" s="116"/>
      <c r="IA33" s="116"/>
      <c r="IB33" s="116"/>
      <c r="IC33" s="116"/>
      <c r="ID33" s="116"/>
      <c r="IE33" s="116"/>
      <c r="IF33" s="116"/>
      <c r="IG33" s="116"/>
      <c r="IH33" s="116"/>
      <c r="II33" s="116"/>
      <c r="IJ33" s="116"/>
      <c r="IK33" s="116"/>
      <c r="IL33" s="116"/>
      <c r="IM33" s="116"/>
      <c r="IN33" s="116"/>
      <c r="IO33" s="116"/>
      <c r="IP33" s="116"/>
      <c r="IQ33" s="116"/>
      <c r="IR33" s="116"/>
      <c r="IS33" s="116"/>
      <c r="IT33" s="116"/>
      <c r="IU33" s="116"/>
      <c r="IV33" s="116"/>
      <c r="IW33" s="116"/>
      <c r="IX33" s="116"/>
      <c r="IY33" s="116"/>
      <c r="IZ33" s="116"/>
    </row>
    <row r="34" spans="2:260" x14ac:dyDescent="0.3">
      <c r="B34" s="147" t="s">
        <v>76</v>
      </c>
      <c r="C34" s="39">
        <v>0</v>
      </c>
      <c r="D34" s="39">
        <f>+C34+1</f>
        <v>1</v>
      </c>
      <c r="E34" s="39">
        <f>+D34+1</f>
        <v>2</v>
      </c>
      <c r="F34" s="39">
        <f>+E34+1</f>
        <v>3</v>
      </c>
      <c r="G34" s="39">
        <f>+F34+1</f>
        <v>4</v>
      </c>
      <c r="H34" s="39">
        <f>+G34+1</f>
        <v>5</v>
      </c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6"/>
      <c r="ED34" s="116"/>
      <c r="EE34" s="116"/>
      <c r="EF34" s="116"/>
      <c r="EG34" s="116"/>
      <c r="EH34" s="116"/>
      <c r="EI34" s="116"/>
      <c r="EJ34" s="116"/>
      <c r="EK34" s="116"/>
      <c r="EL34" s="116"/>
      <c r="EM34" s="116"/>
      <c r="EN34" s="116"/>
      <c r="EO34" s="116"/>
      <c r="EP34" s="116"/>
      <c r="EQ34" s="116"/>
      <c r="ER34" s="116"/>
      <c r="ES34" s="116"/>
      <c r="ET34" s="116"/>
      <c r="EU34" s="116"/>
      <c r="EV34" s="116"/>
      <c r="EW34" s="116"/>
      <c r="EX34" s="116"/>
      <c r="EY34" s="116"/>
      <c r="EZ34" s="116"/>
      <c r="FA34" s="116"/>
      <c r="FB34" s="116"/>
      <c r="FC34" s="116"/>
      <c r="FD34" s="116"/>
      <c r="FE34" s="116"/>
      <c r="FF34" s="116"/>
      <c r="FG34" s="116"/>
      <c r="FH34" s="116"/>
      <c r="FI34" s="116"/>
      <c r="FJ34" s="116"/>
      <c r="FK34" s="116"/>
      <c r="FL34" s="116"/>
      <c r="FM34" s="116"/>
      <c r="FN34" s="116"/>
      <c r="FO34" s="116"/>
      <c r="FP34" s="116"/>
      <c r="FQ34" s="116"/>
      <c r="FR34" s="116"/>
      <c r="FS34" s="116"/>
      <c r="FT34" s="116"/>
      <c r="FU34" s="116"/>
      <c r="FV34" s="116"/>
      <c r="FW34" s="116"/>
      <c r="FX34" s="116"/>
      <c r="FY34" s="116"/>
      <c r="FZ34" s="116"/>
      <c r="GA34" s="116"/>
      <c r="GB34" s="116"/>
      <c r="GC34" s="116"/>
      <c r="GD34" s="116"/>
      <c r="GE34" s="116"/>
      <c r="GF34" s="116"/>
      <c r="GG34" s="116"/>
      <c r="GH34" s="116"/>
      <c r="GI34" s="116"/>
      <c r="GJ34" s="116"/>
      <c r="GK34" s="116"/>
      <c r="GL34" s="116"/>
      <c r="GM34" s="116"/>
      <c r="GN34" s="116"/>
      <c r="GO34" s="116"/>
      <c r="GP34" s="116"/>
      <c r="GQ34" s="116"/>
      <c r="GR34" s="116"/>
      <c r="GS34" s="116"/>
      <c r="GT34" s="116"/>
      <c r="GU34" s="116"/>
      <c r="GV34" s="116"/>
      <c r="GW34" s="116"/>
      <c r="GX34" s="116"/>
      <c r="GY34" s="116"/>
      <c r="GZ34" s="116"/>
      <c r="HA34" s="116"/>
      <c r="HB34" s="116"/>
      <c r="HC34" s="116"/>
      <c r="HD34" s="116"/>
      <c r="HE34" s="116"/>
      <c r="HF34" s="116"/>
      <c r="HG34" s="116"/>
      <c r="HH34" s="116"/>
      <c r="HI34" s="116"/>
      <c r="HJ34" s="116"/>
      <c r="HK34" s="116"/>
      <c r="HL34" s="116"/>
      <c r="HM34" s="116"/>
      <c r="HN34" s="116"/>
      <c r="HO34" s="116"/>
      <c r="HP34" s="116"/>
      <c r="HQ34" s="116"/>
      <c r="HR34" s="116"/>
      <c r="HS34" s="116"/>
      <c r="HT34" s="116"/>
      <c r="HU34" s="116"/>
      <c r="HV34" s="116"/>
      <c r="HW34" s="116"/>
      <c r="HX34" s="116"/>
      <c r="HY34" s="116"/>
      <c r="HZ34" s="116"/>
      <c r="IA34" s="116"/>
      <c r="IB34" s="116"/>
      <c r="IC34" s="116"/>
      <c r="ID34" s="116"/>
      <c r="IE34" s="116"/>
      <c r="IF34" s="116"/>
      <c r="IG34" s="116"/>
      <c r="IH34" s="116"/>
      <c r="II34" s="116"/>
      <c r="IJ34" s="116"/>
      <c r="IK34" s="116"/>
      <c r="IL34" s="116"/>
      <c r="IM34" s="116"/>
      <c r="IN34" s="116"/>
      <c r="IO34" s="116"/>
      <c r="IP34" s="116"/>
      <c r="IQ34" s="116"/>
      <c r="IR34" s="116"/>
      <c r="IS34" s="116"/>
      <c r="IT34" s="116"/>
      <c r="IU34" s="116"/>
      <c r="IV34" s="116"/>
      <c r="IW34" s="116"/>
      <c r="IX34" s="116"/>
      <c r="IY34" s="116"/>
      <c r="IZ34" s="116"/>
    </row>
    <row r="35" spans="2:260" x14ac:dyDescent="0.3">
      <c r="B35" s="218" t="s">
        <v>244</v>
      </c>
      <c r="C35" s="217">
        <v>90</v>
      </c>
      <c r="D35" s="217">
        <f>+C35</f>
        <v>90</v>
      </c>
      <c r="E35" s="217">
        <f t="shared" ref="E35:H35" si="4">+D35</f>
        <v>90</v>
      </c>
      <c r="F35" s="217">
        <f t="shared" si="4"/>
        <v>90</v>
      </c>
      <c r="G35" s="217">
        <f t="shared" si="4"/>
        <v>90</v>
      </c>
      <c r="H35" s="217">
        <f t="shared" si="4"/>
        <v>90</v>
      </c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  <c r="DO35" s="116"/>
      <c r="DP35" s="116"/>
      <c r="DQ35" s="116"/>
      <c r="DR35" s="116"/>
      <c r="DS35" s="116"/>
      <c r="DT35" s="116"/>
      <c r="DU35" s="116"/>
      <c r="DV35" s="116"/>
      <c r="DW35" s="116"/>
      <c r="DX35" s="116"/>
      <c r="DY35" s="116"/>
      <c r="DZ35" s="116"/>
      <c r="EA35" s="116"/>
      <c r="EB35" s="116"/>
      <c r="EC35" s="116"/>
      <c r="ED35" s="116"/>
      <c r="EE35" s="116"/>
      <c r="EF35" s="116"/>
      <c r="EG35" s="116"/>
      <c r="EH35" s="116"/>
      <c r="EI35" s="116"/>
      <c r="EJ35" s="116"/>
      <c r="EK35" s="116"/>
      <c r="EL35" s="116"/>
      <c r="EM35" s="116"/>
      <c r="EN35" s="116"/>
      <c r="EO35" s="116"/>
      <c r="EP35" s="116"/>
      <c r="EQ35" s="116"/>
      <c r="ER35" s="116"/>
      <c r="ES35" s="116"/>
      <c r="ET35" s="116"/>
      <c r="EU35" s="116"/>
      <c r="EV35" s="116"/>
      <c r="EW35" s="116"/>
      <c r="EX35" s="116"/>
      <c r="EY35" s="116"/>
      <c r="EZ35" s="116"/>
      <c r="FA35" s="116"/>
      <c r="FB35" s="116"/>
      <c r="FC35" s="116"/>
      <c r="FD35" s="116"/>
      <c r="FE35" s="116"/>
      <c r="FF35" s="116"/>
      <c r="FG35" s="116"/>
      <c r="FH35" s="116"/>
      <c r="FI35" s="116"/>
      <c r="FJ35" s="116"/>
      <c r="FK35" s="116"/>
      <c r="FL35" s="116"/>
      <c r="FM35" s="116"/>
      <c r="FN35" s="116"/>
      <c r="FO35" s="116"/>
      <c r="FP35" s="116"/>
      <c r="FQ35" s="116"/>
      <c r="FR35" s="116"/>
      <c r="FS35" s="116"/>
      <c r="FT35" s="116"/>
      <c r="FU35" s="116"/>
      <c r="FV35" s="116"/>
      <c r="FW35" s="116"/>
      <c r="FX35" s="116"/>
      <c r="FY35" s="116"/>
      <c r="FZ35" s="116"/>
      <c r="GA35" s="116"/>
      <c r="GB35" s="116"/>
      <c r="GC35" s="116"/>
      <c r="GD35" s="116"/>
      <c r="GE35" s="116"/>
      <c r="GF35" s="116"/>
      <c r="GG35" s="116"/>
      <c r="GH35" s="116"/>
      <c r="GI35" s="116"/>
      <c r="GJ35" s="116"/>
      <c r="GK35" s="116"/>
      <c r="GL35" s="116"/>
      <c r="GM35" s="116"/>
      <c r="GN35" s="116"/>
      <c r="GO35" s="116"/>
      <c r="GP35" s="116"/>
      <c r="GQ35" s="116"/>
      <c r="GR35" s="116"/>
      <c r="GS35" s="116"/>
      <c r="GT35" s="116"/>
      <c r="GU35" s="116"/>
      <c r="GV35" s="116"/>
      <c r="GW35" s="116"/>
      <c r="GX35" s="116"/>
      <c r="GY35" s="116"/>
      <c r="GZ35" s="116"/>
      <c r="HA35" s="116"/>
      <c r="HB35" s="116"/>
      <c r="HC35" s="116"/>
      <c r="HD35" s="116"/>
      <c r="HE35" s="116"/>
      <c r="HF35" s="116"/>
      <c r="HG35" s="116"/>
      <c r="HH35" s="116"/>
      <c r="HI35" s="116"/>
      <c r="HJ35" s="116"/>
      <c r="HK35" s="116"/>
      <c r="HL35" s="116"/>
      <c r="HM35" s="116"/>
      <c r="HN35" s="116"/>
      <c r="HO35" s="116"/>
      <c r="HP35" s="116"/>
      <c r="HQ35" s="116"/>
      <c r="HR35" s="116"/>
      <c r="HS35" s="116"/>
      <c r="HT35" s="116"/>
      <c r="HU35" s="116"/>
      <c r="HV35" s="116"/>
      <c r="HW35" s="116"/>
      <c r="HX35" s="116"/>
      <c r="HY35" s="116"/>
      <c r="HZ35" s="116"/>
      <c r="IA35" s="116"/>
      <c r="IB35" s="116"/>
      <c r="IC35" s="116"/>
      <c r="ID35" s="116"/>
      <c r="IE35" s="116"/>
      <c r="IF35" s="116"/>
      <c r="IG35" s="116"/>
      <c r="IH35" s="116"/>
      <c r="II35" s="116"/>
      <c r="IJ35" s="116"/>
      <c r="IK35" s="116"/>
      <c r="IL35" s="116"/>
      <c r="IM35" s="116"/>
      <c r="IN35" s="116"/>
      <c r="IO35" s="116"/>
      <c r="IP35" s="116"/>
      <c r="IQ35" s="116"/>
      <c r="IR35" s="116"/>
      <c r="IS35" s="116"/>
      <c r="IT35" s="116"/>
      <c r="IU35" s="116"/>
      <c r="IV35" s="116"/>
      <c r="IW35" s="116"/>
      <c r="IX35" s="116"/>
      <c r="IY35" s="116"/>
      <c r="IZ35" s="116"/>
    </row>
    <row r="36" spans="2:260" x14ac:dyDescent="0.3">
      <c r="B36" s="222" t="s">
        <v>243</v>
      </c>
      <c r="C36" s="256">
        <f>+(C56/360)*C35</f>
        <v>0</v>
      </c>
      <c r="D36" s="256">
        <f t="shared" ref="D36:G36" si="5">+(D56/360)*D35</f>
        <v>1522974071.7265966</v>
      </c>
      <c r="E36" s="256">
        <f t="shared" si="5"/>
        <v>1616594433.023068</v>
      </c>
      <c r="F36" s="256">
        <f t="shared" si="5"/>
        <v>1711044771.0696573</v>
      </c>
      <c r="G36" s="256">
        <f t="shared" si="5"/>
        <v>1811808625.3991423</v>
      </c>
      <c r="H36" s="256">
        <f>+(H56/360)*H35</f>
        <v>1917853376.5868132</v>
      </c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6"/>
      <c r="DV36" s="116"/>
      <c r="DW36" s="116"/>
      <c r="DX36" s="116"/>
      <c r="DY36" s="116"/>
      <c r="DZ36" s="116"/>
      <c r="EA36" s="116"/>
      <c r="EB36" s="116"/>
      <c r="EC36" s="116"/>
      <c r="ED36" s="116"/>
      <c r="EE36" s="116"/>
      <c r="EF36" s="116"/>
      <c r="EG36" s="116"/>
      <c r="EH36" s="116"/>
      <c r="EI36" s="116"/>
      <c r="EJ36" s="116"/>
      <c r="EK36" s="116"/>
      <c r="EL36" s="116"/>
      <c r="EM36" s="116"/>
      <c r="EN36" s="116"/>
      <c r="EO36" s="116"/>
      <c r="EP36" s="116"/>
      <c r="EQ36" s="116"/>
      <c r="ER36" s="116"/>
      <c r="ES36" s="116"/>
      <c r="ET36" s="116"/>
      <c r="EU36" s="116"/>
      <c r="EV36" s="116"/>
      <c r="EW36" s="116"/>
      <c r="EX36" s="116"/>
      <c r="EY36" s="116"/>
      <c r="EZ36" s="116"/>
      <c r="FA36" s="116"/>
      <c r="FB36" s="116"/>
      <c r="FC36" s="116"/>
      <c r="FD36" s="116"/>
      <c r="FE36" s="116"/>
      <c r="FF36" s="116"/>
      <c r="FG36" s="116"/>
      <c r="FH36" s="116"/>
      <c r="FI36" s="116"/>
      <c r="FJ36" s="116"/>
      <c r="FK36" s="116"/>
      <c r="FL36" s="116"/>
      <c r="FM36" s="116"/>
      <c r="FN36" s="116"/>
      <c r="FO36" s="116"/>
      <c r="FP36" s="116"/>
      <c r="FQ36" s="116"/>
      <c r="FR36" s="116"/>
      <c r="FS36" s="116"/>
      <c r="FT36" s="116"/>
      <c r="FU36" s="116"/>
      <c r="FV36" s="116"/>
      <c r="FW36" s="116"/>
      <c r="FX36" s="116"/>
      <c r="FY36" s="116"/>
      <c r="FZ36" s="116"/>
      <c r="GA36" s="116"/>
      <c r="GB36" s="116"/>
      <c r="GC36" s="116"/>
      <c r="GD36" s="116"/>
      <c r="GE36" s="116"/>
      <c r="GF36" s="116"/>
      <c r="GG36" s="116"/>
      <c r="GH36" s="116"/>
      <c r="GI36" s="116"/>
      <c r="GJ36" s="116"/>
      <c r="GK36" s="116"/>
      <c r="GL36" s="116"/>
      <c r="GM36" s="116"/>
      <c r="GN36" s="116"/>
      <c r="GO36" s="116"/>
      <c r="GP36" s="116"/>
      <c r="GQ36" s="116"/>
      <c r="GR36" s="116"/>
      <c r="GS36" s="116"/>
      <c r="GT36" s="116"/>
      <c r="GU36" s="116"/>
      <c r="GV36" s="116"/>
      <c r="GW36" s="116"/>
      <c r="GX36" s="116"/>
      <c r="GY36" s="116"/>
      <c r="GZ36" s="116"/>
      <c r="HA36" s="116"/>
      <c r="HB36" s="116"/>
      <c r="HC36" s="116"/>
      <c r="HD36" s="116"/>
      <c r="HE36" s="116"/>
      <c r="HF36" s="116"/>
      <c r="HG36" s="116"/>
      <c r="HH36" s="116"/>
      <c r="HI36" s="116"/>
      <c r="HJ36" s="116"/>
      <c r="HK36" s="116"/>
      <c r="HL36" s="116"/>
      <c r="HM36" s="116"/>
      <c r="HN36" s="116"/>
      <c r="HO36" s="116"/>
      <c r="HP36" s="116"/>
      <c r="HQ36" s="116"/>
      <c r="HR36" s="116"/>
      <c r="HS36" s="116"/>
      <c r="HT36" s="116"/>
      <c r="HU36" s="116"/>
      <c r="HV36" s="116"/>
      <c r="HW36" s="116"/>
      <c r="HX36" s="116"/>
      <c r="HY36" s="116"/>
      <c r="HZ36" s="116"/>
      <c r="IA36" s="116"/>
      <c r="IB36" s="116"/>
      <c r="IC36" s="116"/>
      <c r="ID36" s="116"/>
      <c r="IE36" s="116"/>
      <c r="IF36" s="116"/>
      <c r="IG36" s="116"/>
      <c r="IH36" s="116"/>
      <c r="II36" s="116"/>
      <c r="IJ36" s="116"/>
      <c r="IK36" s="116"/>
      <c r="IL36" s="116"/>
      <c r="IM36" s="116"/>
      <c r="IN36" s="116"/>
      <c r="IO36" s="116"/>
      <c r="IP36" s="116"/>
      <c r="IQ36" s="116"/>
      <c r="IR36" s="116"/>
      <c r="IS36" s="116"/>
      <c r="IT36" s="116"/>
      <c r="IU36" s="116"/>
      <c r="IV36" s="116"/>
      <c r="IW36" s="116"/>
      <c r="IX36" s="116"/>
      <c r="IY36" s="116"/>
      <c r="IZ36" s="116"/>
    </row>
    <row r="37" spans="2:260" x14ac:dyDescent="0.3">
      <c r="B37" s="138" t="s">
        <v>240</v>
      </c>
      <c r="C37" s="255">
        <v>30</v>
      </c>
      <c r="D37" s="255">
        <f>+C37</f>
        <v>30</v>
      </c>
      <c r="E37" s="255">
        <f t="shared" ref="E37:H37" si="6">+D37</f>
        <v>30</v>
      </c>
      <c r="F37" s="255">
        <f t="shared" si="6"/>
        <v>30</v>
      </c>
      <c r="G37" s="255">
        <f t="shared" si="6"/>
        <v>30</v>
      </c>
      <c r="H37" s="255">
        <f t="shared" si="6"/>
        <v>30</v>
      </c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6"/>
      <c r="DV37" s="116"/>
      <c r="DW37" s="116"/>
      <c r="DX37" s="116"/>
      <c r="DY37" s="116"/>
      <c r="DZ37" s="116"/>
      <c r="EA37" s="116"/>
      <c r="EB37" s="116"/>
      <c r="EC37" s="116"/>
      <c r="ED37" s="116"/>
      <c r="EE37" s="116"/>
      <c r="EF37" s="116"/>
      <c r="EG37" s="116"/>
      <c r="EH37" s="116"/>
      <c r="EI37" s="116"/>
      <c r="EJ37" s="116"/>
      <c r="EK37" s="116"/>
      <c r="EL37" s="116"/>
      <c r="EM37" s="116"/>
      <c r="EN37" s="116"/>
      <c r="EO37" s="116"/>
      <c r="EP37" s="116"/>
      <c r="EQ37" s="116"/>
      <c r="ER37" s="116"/>
      <c r="ES37" s="116"/>
      <c r="ET37" s="116"/>
      <c r="EU37" s="116"/>
      <c r="EV37" s="116"/>
      <c r="EW37" s="116"/>
      <c r="EX37" s="116"/>
      <c r="EY37" s="116"/>
      <c r="EZ37" s="116"/>
      <c r="FA37" s="116"/>
      <c r="FB37" s="116"/>
      <c r="FC37" s="116"/>
      <c r="FD37" s="116"/>
      <c r="FE37" s="116"/>
      <c r="FF37" s="116"/>
      <c r="FG37" s="116"/>
      <c r="FH37" s="116"/>
      <c r="FI37" s="116"/>
      <c r="FJ37" s="116"/>
      <c r="FK37" s="116"/>
      <c r="FL37" s="116"/>
      <c r="FM37" s="116"/>
      <c r="FN37" s="116"/>
      <c r="FO37" s="116"/>
      <c r="FP37" s="116"/>
      <c r="FQ37" s="116"/>
      <c r="FR37" s="116"/>
      <c r="FS37" s="116"/>
      <c r="FT37" s="116"/>
      <c r="FU37" s="116"/>
      <c r="FV37" s="116"/>
      <c r="FW37" s="116"/>
      <c r="FX37" s="116"/>
      <c r="FY37" s="116"/>
      <c r="FZ37" s="116"/>
      <c r="GA37" s="116"/>
      <c r="GB37" s="116"/>
      <c r="GC37" s="116"/>
      <c r="GD37" s="116"/>
      <c r="GE37" s="116"/>
      <c r="GF37" s="116"/>
      <c r="GG37" s="116"/>
      <c r="GH37" s="116"/>
      <c r="GI37" s="116"/>
      <c r="GJ37" s="116"/>
      <c r="GK37" s="116"/>
      <c r="GL37" s="116"/>
      <c r="GM37" s="116"/>
      <c r="GN37" s="116"/>
      <c r="GO37" s="116"/>
      <c r="GP37" s="116"/>
      <c r="GQ37" s="116"/>
      <c r="GR37" s="116"/>
      <c r="GS37" s="116"/>
      <c r="GT37" s="116"/>
      <c r="GU37" s="116"/>
      <c r="GV37" s="116"/>
      <c r="GW37" s="116"/>
      <c r="GX37" s="116"/>
      <c r="GY37" s="116"/>
      <c r="GZ37" s="116"/>
      <c r="HA37" s="116"/>
      <c r="HB37" s="116"/>
      <c r="HC37" s="116"/>
      <c r="HD37" s="116"/>
      <c r="HE37" s="116"/>
      <c r="HF37" s="116"/>
      <c r="HG37" s="116"/>
      <c r="HH37" s="116"/>
      <c r="HI37" s="116"/>
      <c r="HJ37" s="116"/>
      <c r="HK37" s="116"/>
      <c r="HL37" s="116"/>
      <c r="HM37" s="116"/>
      <c r="HN37" s="116"/>
      <c r="HO37" s="116"/>
      <c r="HP37" s="116"/>
      <c r="HQ37" s="116"/>
      <c r="HR37" s="116"/>
      <c r="HS37" s="116"/>
      <c r="HT37" s="116"/>
      <c r="HU37" s="116"/>
      <c r="HV37" s="116"/>
      <c r="HW37" s="116"/>
      <c r="HX37" s="116"/>
      <c r="HY37" s="116"/>
      <c r="HZ37" s="116"/>
      <c r="IA37" s="116"/>
      <c r="IB37" s="116"/>
      <c r="IC37" s="116"/>
      <c r="ID37" s="116"/>
      <c r="IE37" s="116"/>
      <c r="IF37" s="116"/>
      <c r="IG37" s="116"/>
      <c r="IH37" s="116"/>
      <c r="II37" s="116"/>
      <c r="IJ37" s="116"/>
      <c r="IK37" s="116"/>
      <c r="IL37" s="116"/>
      <c r="IM37" s="116"/>
      <c r="IN37" s="116"/>
      <c r="IO37" s="116"/>
      <c r="IP37" s="116"/>
      <c r="IQ37" s="116"/>
      <c r="IR37" s="116"/>
      <c r="IS37" s="116"/>
      <c r="IT37" s="116"/>
      <c r="IU37" s="116"/>
      <c r="IV37" s="116"/>
      <c r="IW37" s="116"/>
      <c r="IX37" s="116"/>
      <c r="IY37" s="116"/>
      <c r="IZ37" s="116"/>
    </row>
    <row r="38" spans="2:260" x14ac:dyDescent="0.3">
      <c r="B38" s="152" t="s">
        <v>241</v>
      </c>
      <c r="C38" s="257">
        <f>+(C55/360)*C37</f>
        <v>0</v>
      </c>
      <c r="D38" s="257">
        <f t="shared" ref="D38:H38" si="7">+(D55/360)*D37</f>
        <v>9682116885.2777767</v>
      </c>
      <c r="E38" s="257">
        <f t="shared" si="7"/>
        <v>10753677909.968229</v>
      </c>
      <c r="F38" s="257">
        <f t="shared" si="7"/>
        <v>11951065264.631935</v>
      </c>
      <c r="G38" s="257">
        <f t="shared" si="7"/>
        <v>13287617310.037012</v>
      </c>
      <c r="H38" s="257">
        <f t="shared" si="7"/>
        <v>14768615038.416786</v>
      </c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6"/>
      <c r="DV38" s="116"/>
      <c r="DW38" s="116"/>
      <c r="DX38" s="116"/>
      <c r="DY38" s="116"/>
      <c r="DZ38" s="116"/>
      <c r="EA38" s="116"/>
      <c r="EB38" s="116"/>
      <c r="EC38" s="116"/>
      <c r="ED38" s="116"/>
      <c r="EE38" s="116"/>
      <c r="EF38" s="116"/>
      <c r="EG38" s="116"/>
      <c r="EH38" s="116"/>
      <c r="EI38" s="116"/>
      <c r="EJ38" s="116"/>
      <c r="EK38" s="116"/>
      <c r="EL38" s="116"/>
      <c r="EM38" s="116"/>
      <c r="EN38" s="116"/>
      <c r="EO38" s="116"/>
      <c r="EP38" s="116"/>
      <c r="EQ38" s="116"/>
      <c r="ER38" s="116"/>
      <c r="ES38" s="116"/>
      <c r="ET38" s="116"/>
      <c r="EU38" s="116"/>
      <c r="EV38" s="116"/>
      <c r="EW38" s="116"/>
      <c r="EX38" s="116"/>
      <c r="EY38" s="116"/>
      <c r="EZ38" s="116"/>
      <c r="FA38" s="116"/>
      <c r="FB38" s="116"/>
      <c r="FC38" s="116"/>
      <c r="FD38" s="116"/>
      <c r="FE38" s="116"/>
      <c r="FF38" s="116"/>
      <c r="FG38" s="116"/>
      <c r="FH38" s="116"/>
      <c r="FI38" s="116"/>
      <c r="FJ38" s="116"/>
      <c r="FK38" s="116"/>
      <c r="FL38" s="116"/>
      <c r="FM38" s="116"/>
      <c r="FN38" s="116"/>
      <c r="FO38" s="116"/>
      <c r="FP38" s="116"/>
      <c r="FQ38" s="116"/>
      <c r="FR38" s="116"/>
      <c r="FS38" s="116"/>
      <c r="FT38" s="116"/>
      <c r="FU38" s="116"/>
      <c r="FV38" s="116"/>
      <c r="FW38" s="116"/>
      <c r="FX38" s="116"/>
      <c r="FY38" s="116"/>
      <c r="FZ38" s="116"/>
      <c r="GA38" s="116"/>
      <c r="GB38" s="116"/>
      <c r="GC38" s="116"/>
      <c r="GD38" s="116"/>
      <c r="GE38" s="116"/>
      <c r="GF38" s="116"/>
      <c r="GG38" s="116"/>
      <c r="GH38" s="116"/>
      <c r="GI38" s="116"/>
      <c r="GJ38" s="116"/>
      <c r="GK38" s="116"/>
      <c r="GL38" s="116"/>
      <c r="GM38" s="116"/>
      <c r="GN38" s="116"/>
      <c r="GO38" s="116"/>
      <c r="GP38" s="116"/>
      <c r="GQ38" s="116"/>
      <c r="GR38" s="116"/>
      <c r="GS38" s="116"/>
      <c r="GT38" s="116"/>
      <c r="GU38" s="116"/>
      <c r="GV38" s="116"/>
      <c r="GW38" s="116"/>
      <c r="GX38" s="116"/>
      <c r="GY38" s="116"/>
      <c r="GZ38" s="116"/>
      <c r="HA38" s="116"/>
      <c r="HB38" s="116"/>
      <c r="HC38" s="116"/>
      <c r="HD38" s="116"/>
      <c r="HE38" s="116"/>
      <c r="HF38" s="116"/>
      <c r="HG38" s="116"/>
      <c r="HH38" s="116"/>
      <c r="HI38" s="116"/>
      <c r="HJ38" s="116"/>
      <c r="HK38" s="116"/>
      <c r="HL38" s="116"/>
      <c r="HM38" s="116"/>
      <c r="HN38" s="116"/>
      <c r="HO38" s="116"/>
      <c r="HP38" s="116"/>
      <c r="HQ38" s="116"/>
      <c r="HR38" s="116"/>
      <c r="HS38" s="116"/>
      <c r="HT38" s="116"/>
      <c r="HU38" s="116"/>
      <c r="HV38" s="116"/>
      <c r="HW38" s="116"/>
      <c r="HX38" s="116"/>
      <c r="HY38" s="116"/>
      <c r="HZ38" s="116"/>
      <c r="IA38" s="116"/>
      <c r="IB38" s="116"/>
      <c r="IC38" s="116"/>
      <c r="ID38" s="116"/>
      <c r="IE38" s="116"/>
      <c r="IF38" s="116"/>
      <c r="IG38" s="116"/>
      <c r="IH38" s="116"/>
      <c r="II38" s="116"/>
      <c r="IJ38" s="116"/>
      <c r="IK38" s="116"/>
      <c r="IL38" s="116"/>
      <c r="IM38" s="116"/>
      <c r="IN38" s="116"/>
      <c r="IO38" s="116"/>
      <c r="IP38" s="116"/>
      <c r="IQ38" s="116"/>
      <c r="IR38" s="116"/>
      <c r="IS38" s="116"/>
      <c r="IT38" s="116"/>
      <c r="IU38" s="116"/>
      <c r="IV38" s="116"/>
      <c r="IW38" s="116"/>
      <c r="IX38" s="116"/>
      <c r="IY38" s="116"/>
      <c r="IZ38" s="116"/>
    </row>
    <row r="39" spans="2:260" x14ac:dyDescent="0.3">
      <c r="B39" s="138" t="s">
        <v>256</v>
      </c>
      <c r="C39" s="25">
        <v>1.5</v>
      </c>
      <c r="D39" s="269">
        <f>+C39</f>
        <v>1.5</v>
      </c>
      <c r="E39" s="269">
        <f t="shared" ref="E39:H39" si="8">+D39</f>
        <v>1.5</v>
      </c>
      <c r="F39" s="269">
        <f t="shared" si="8"/>
        <v>1.5</v>
      </c>
      <c r="G39" s="269">
        <f t="shared" si="8"/>
        <v>1.5</v>
      </c>
      <c r="H39" s="269">
        <f t="shared" si="8"/>
        <v>1.5</v>
      </c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  <c r="DM39" s="116"/>
      <c r="DN39" s="116"/>
      <c r="DO39" s="116"/>
      <c r="DP39" s="116"/>
      <c r="DQ39" s="116"/>
      <c r="DR39" s="116"/>
      <c r="DS39" s="116"/>
      <c r="DT39" s="116"/>
      <c r="DU39" s="116"/>
      <c r="DV39" s="116"/>
      <c r="DW39" s="116"/>
      <c r="DX39" s="116"/>
      <c r="DY39" s="116"/>
      <c r="DZ39" s="116"/>
      <c r="EA39" s="116"/>
      <c r="EB39" s="116"/>
      <c r="EC39" s="116"/>
      <c r="ED39" s="116"/>
      <c r="EE39" s="116"/>
      <c r="EF39" s="116"/>
      <c r="EG39" s="116"/>
      <c r="EH39" s="116"/>
      <c r="EI39" s="116"/>
      <c r="EJ39" s="116"/>
      <c r="EK39" s="116"/>
      <c r="EL39" s="116"/>
      <c r="EM39" s="116"/>
      <c r="EN39" s="116"/>
      <c r="EO39" s="116"/>
      <c r="EP39" s="116"/>
      <c r="EQ39" s="116"/>
      <c r="ER39" s="116"/>
      <c r="ES39" s="116"/>
      <c r="ET39" s="116"/>
      <c r="EU39" s="116"/>
      <c r="EV39" s="116"/>
      <c r="EW39" s="116"/>
      <c r="EX39" s="116"/>
      <c r="EY39" s="116"/>
      <c r="EZ39" s="116"/>
      <c r="FA39" s="116"/>
      <c r="FB39" s="116"/>
      <c r="FC39" s="116"/>
      <c r="FD39" s="116"/>
      <c r="FE39" s="116"/>
      <c r="FF39" s="116"/>
      <c r="FG39" s="116"/>
      <c r="FH39" s="116"/>
      <c r="FI39" s="116"/>
      <c r="FJ39" s="116"/>
      <c r="FK39" s="116"/>
      <c r="FL39" s="116"/>
      <c r="FM39" s="116"/>
      <c r="FN39" s="116"/>
      <c r="FO39" s="116"/>
      <c r="FP39" s="116"/>
      <c r="FQ39" s="116"/>
      <c r="FR39" s="116"/>
      <c r="FS39" s="116"/>
      <c r="FT39" s="116"/>
      <c r="FU39" s="116"/>
      <c r="FV39" s="116"/>
      <c r="FW39" s="116"/>
      <c r="FX39" s="116"/>
      <c r="FY39" s="116"/>
      <c r="FZ39" s="116"/>
      <c r="GA39" s="116"/>
      <c r="GB39" s="116"/>
      <c r="GC39" s="116"/>
      <c r="GD39" s="116"/>
      <c r="GE39" s="116"/>
      <c r="GF39" s="116"/>
      <c r="GG39" s="116"/>
      <c r="GH39" s="116"/>
      <c r="GI39" s="116"/>
      <c r="GJ39" s="116"/>
      <c r="GK39" s="116"/>
      <c r="GL39" s="116"/>
      <c r="GM39" s="116"/>
      <c r="GN39" s="116"/>
      <c r="GO39" s="116"/>
      <c r="GP39" s="116"/>
      <c r="GQ39" s="116"/>
      <c r="GR39" s="116"/>
      <c r="GS39" s="116"/>
      <c r="GT39" s="116"/>
      <c r="GU39" s="116"/>
      <c r="GV39" s="116"/>
      <c r="GW39" s="116"/>
      <c r="GX39" s="116"/>
      <c r="GY39" s="116"/>
      <c r="GZ39" s="116"/>
      <c r="HA39" s="116"/>
      <c r="HB39" s="116"/>
      <c r="HC39" s="116"/>
      <c r="HD39" s="116"/>
      <c r="HE39" s="116"/>
      <c r="HF39" s="116"/>
      <c r="HG39" s="116"/>
      <c r="HH39" s="116"/>
      <c r="HI39" s="116"/>
      <c r="HJ39" s="116"/>
      <c r="HK39" s="116"/>
      <c r="HL39" s="116"/>
      <c r="HM39" s="116"/>
      <c r="HN39" s="116"/>
      <c r="HO39" s="116"/>
      <c r="HP39" s="116"/>
      <c r="HQ39" s="116"/>
      <c r="HR39" s="116"/>
      <c r="HS39" s="116"/>
      <c r="HT39" s="116"/>
      <c r="HU39" s="116"/>
      <c r="HV39" s="116"/>
      <c r="HW39" s="116"/>
      <c r="HX39" s="116"/>
      <c r="HY39" s="116"/>
      <c r="HZ39" s="116"/>
      <c r="IA39" s="116"/>
      <c r="IB39" s="116"/>
      <c r="IC39" s="116"/>
      <c r="ID39" s="116"/>
      <c r="IE39" s="116"/>
      <c r="IF39" s="116"/>
      <c r="IG39" s="116"/>
      <c r="IH39" s="116"/>
      <c r="II39" s="116"/>
      <c r="IJ39" s="116"/>
      <c r="IK39" s="116"/>
      <c r="IL39" s="116"/>
      <c r="IM39" s="116"/>
      <c r="IN39" s="116"/>
      <c r="IO39" s="116"/>
      <c r="IP39" s="116"/>
      <c r="IQ39" s="116"/>
      <c r="IR39" s="116"/>
      <c r="IS39" s="116"/>
      <c r="IT39" s="116"/>
      <c r="IU39" s="116"/>
      <c r="IV39" s="116"/>
      <c r="IW39" s="116"/>
      <c r="IX39" s="116"/>
      <c r="IY39" s="116"/>
      <c r="IZ39" s="116"/>
    </row>
    <row r="40" spans="2:260" x14ac:dyDescent="0.3">
      <c r="B40" s="152" t="s">
        <v>238</v>
      </c>
      <c r="C40" s="257">
        <f>+(C22/360)*C39</f>
        <v>0</v>
      </c>
      <c r="D40" s="257">
        <f t="shared" ref="D40:H40" si="9">+(D22/360)*D39</f>
        <v>480082966.08999991</v>
      </c>
      <c r="E40" s="257">
        <f t="shared" si="9"/>
        <v>533215788.29978621</v>
      </c>
      <c r="F40" s="257">
        <f t="shared" si="9"/>
        <v>740734558.38256276</v>
      </c>
      <c r="G40" s="257">
        <f t="shared" si="9"/>
        <v>823574887.84261346</v>
      </c>
      <c r="H40" s="257">
        <f t="shared" si="9"/>
        <v>915368047.04807961</v>
      </c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116"/>
      <c r="DW40" s="116"/>
      <c r="DX40" s="116"/>
      <c r="DY40" s="116"/>
      <c r="DZ40" s="116"/>
      <c r="EA40" s="116"/>
      <c r="EB40" s="116"/>
      <c r="EC40" s="116"/>
      <c r="ED40" s="116"/>
      <c r="EE40" s="116"/>
      <c r="EF40" s="116"/>
      <c r="EG40" s="116"/>
      <c r="EH40" s="116"/>
      <c r="EI40" s="116"/>
      <c r="EJ40" s="116"/>
      <c r="EK40" s="116"/>
      <c r="EL40" s="116"/>
      <c r="EM40" s="116"/>
      <c r="EN40" s="116"/>
      <c r="EO40" s="116"/>
      <c r="EP40" s="116"/>
      <c r="EQ40" s="116"/>
      <c r="ER40" s="116"/>
      <c r="ES40" s="116"/>
      <c r="ET40" s="116"/>
      <c r="EU40" s="116"/>
      <c r="EV40" s="116"/>
      <c r="EW40" s="116"/>
      <c r="EX40" s="116"/>
      <c r="EY40" s="116"/>
      <c r="EZ40" s="116"/>
      <c r="FA40" s="116"/>
      <c r="FB40" s="116"/>
      <c r="FC40" s="116"/>
      <c r="FD40" s="116"/>
      <c r="FE40" s="116"/>
      <c r="FF40" s="116"/>
      <c r="FG40" s="116"/>
      <c r="FH40" s="116"/>
      <c r="FI40" s="116"/>
      <c r="FJ40" s="116"/>
      <c r="FK40" s="116"/>
      <c r="FL40" s="116"/>
      <c r="FM40" s="116"/>
      <c r="FN40" s="116"/>
      <c r="FO40" s="116"/>
      <c r="FP40" s="116"/>
      <c r="FQ40" s="116"/>
      <c r="FR40" s="116"/>
      <c r="FS40" s="116"/>
      <c r="FT40" s="116"/>
      <c r="FU40" s="116"/>
      <c r="FV40" s="116"/>
      <c r="FW40" s="116"/>
      <c r="FX40" s="116"/>
      <c r="FY40" s="116"/>
      <c r="FZ40" s="116"/>
      <c r="GA40" s="116"/>
      <c r="GB40" s="116"/>
      <c r="GC40" s="116"/>
      <c r="GD40" s="116"/>
      <c r="GE40" s="116"/>
      <c r="GF40" s="116"/>
      <c r="GG40" s="116"/>
      <c r="GH40" s="116"/>
      <c r="GI40" s="116"/>
      <c r="GJ40" s="116"/>
      <c r="GK40" s="116"/>
      <c r="GL40" s="116"/>
      <c r="GM40" s="116"/>
      <c r="GN40" s="116"/>
      <c r="GO40" s="116"/>
      <c r="GP40" s="116"/>
      <c r="GQ40" s="116"/>
      <c r="GR40" s="116"/>
      <c r="GS40" s="116"/>
      <c r="GT40" s="116"/>
      <c r="GU40" s="116"/>
      <c r="GV40" s="116"/>
      <c r="GW40" s="116"/>
      <c r="GX40" s="116"/>
      <c r="GY40" s="116"/>
      <c r="GZ40" s="116"/>
      <c r="HA40" s="116"/>
      <c r="HB40" s="116"/>
      <c r="HC40" s="116"/>
      <c r="HD40" s="116"/>
      <c r="HE40" s="116"/>
      <c r="HF40" s="116"/>
      <c r="HG40" s="116"/>
      <c r="HH40" s="116"/>
      <c r="HI40" s="116"/>
      <c r="HJ40" s="116"/>
      <c r="HK40" s="116"/>
      <c r="HL40" s="116"/>
      <c r="HM40" s="116"/>
      <c r="HN40" s="116"/>
      <c r="HO40" s="116"/>
      <c r="HP40" s="116"/>
      <c r="HQ40" s="116"/>
      <c r="HR40" s="116"/>
      <c r="HS40" s="116"/>
      <c r="HT40" s="116"/>
      <c r="HU40" s="116"/>
      <c r="HV40" s="116"/>
      <c r="HW40" s="116"/>
      <c r="HX40" s="116"/>
      <c r="HY40" s="116"/>
      <c r="HZ40" s="116"/>
      <c r="IA40" s="116"/>
      <c r="IB40" s="116"/>
      <c r="IC40" s="116"/>
      <c r="ID40" s="116"/>
      <c r="IE40" s="116"/>
      <c r="IF40" s="116"/>
      <c r="IG40" s="116"/>
      <c r="IH40" s="116"/>
      <c r="II40" s="116"/>
      <c r="IJ40" s="116"/>
      <c r="IK40" s="116"/>
      <c r="IL40" s="116"/>
      <c r="IM40" s="116"/>
      <c r="IN40" s="116"/>
      <c r="IO40" s="116"/>
      <c r="IP40" s="116"/>
      <c r="IQ40" s="116"/>
      <c r="IR40" s="116"/>
      <c r="IS40" s="116"/>
      <c r="IT40" s="116"/>
      <c r="IU40" s="116"/>
      <c r="IV40" s="116"/>
      <c r="IW40" s="116"/>
      <c r="IX40" s="116"/>
      <c r="IY40" s="116"/>
      <c r="IZ40" s="116"/>
    </row>
    <row r="41" spans="2:260" x14ac:dyDescent="0.3">
      <c r="B41" s="138" t="s">
        <v>242</v>
      </c>
      <c r="C41" s="255">
        <v>7</v>
      </c>
      <c r="D41" s="255">
        <f>+C41</f>
        <v>7</v>
      </c>
      <c r="E41" s="255">
        <f t="shared" ref="E41:H41" si="10">+D41</f>
        <v>7</v>
      </c>
      <c r="F41" s="255">
        <f t="shared" si="10"/>
        <v>7</v>
      </c>
      <c r="G41" s="255">
        <f t="shared" si="10"/>
        <v>7</v>
      </c>
      <c r="H41" s="255">
        <f t="shared" si="10"/>
        <v>7</v>
      </c>
      <c r="I41" s="132"/>
      <c r="J41" s="132"/>
      <c r="K41" s="132"/>
      <c r="L41" s="132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116"/>
      <c r="DW41" s="116"/>
      <c r="DX41" s="116"/>
      <c r="DY41" s="116"/>
      <c r="DZ41" s="116"/>
      <c r="EA41" s="116"/>
      <c r="EB41" s="116"/>
      <c r="EC41" s="116"/>
      <c r="ED41" s="116"/>
      <c r="EE41" s="116"/>
      <c r="EF41" s="116"/>
      <c r="EG41" s="116"/>
      <c r="EH41" s="116"/>
      <c r="EI41" s="116"/>
      <c r="EJ41" s="116"/>
      <c r="EK41" s="116"/>
      <c r="EL41" s="116"/>
      <c r="EM41" s="116"/>
      <c r="EN41" s="116"/>
      <c r="EO41" s="116"/>
      <c r="EP41" s="116"/>
      <c r="EQ41" s="116"/>
      <c r="ER41" s="116"/>
      <c r="ES41" s="116"/>
      <c r="ET41" s="116"/>
      <c r="EU41" s="116"/>
      <c r="EV41" s="116"/>
      <c r="EW41" s="116"/>
      <c r="EX41" s="116"/>
      <c r="EY41" s="116"/>
      <c r="EZ41" s="116"/>
      <c r="FA41" s="116"/>
      <c r="FB41" s="116"/>
      <c r="FC41" s="116"/>
      <c r="FD41" s="116"/>
      <c r="FE41" s="116"/>
      <c r="FF41" s="116"/>
      <c r="FG41" s="116"/>
      <c r="FH41" s="116"/>
      <c r="FI41" s="116"/>
      <c r="FJ41" s="116"/>
      <c r="FK41" s="116"/>
      <c r="FL41" s="116"/>
      <c r="FM41" s="116"/>
      <c r="FN41" s="116"/>
      <c r="FO41" s="116"/>
      <c r="FP41" s="116"/>
      <c r="FQ41" s="116"/>
      <c r="FR41" s="116"/>
      <c r="FS41" s="116"/>
      <c r="FT41" s="116"/>
      <c r="FU41" s="116"/>
      <c r="FV41" s="116"/>
      <c r="FW41" s="116"/>
      <c r="FX41" s="116"/>
      <c r="FY41" s="116"/>
      <c r="FZ41" s="116"/>
      <c r="GA41" s="116"/>
      <c r="GB41" s="116"/>
      <c r="GC41" s="116"/>
      <c r="GD41" s="116"/>
      <c r="GE41" s="116"/>
      <c r="GF41" s="116"/>
      <c r="GG41" s="116"/>
      <c r="GH41" s="116"/>
      <c r="GI41" s="116"/>
      <c r="GJ41" s="116"/>
      <c r="GK41" s="116"/>
      <c r="GL41" s="116"/>
      <c r="GM41" s="116"/>
      <c r="GN41" s="116"/>
      <c r="GO41" s="116"/>
      <c r="GP41" s="116"/>
      <c r="GQ41" s="116"/>
      <c r="GR41" s="116"/>
      <c r="GS41" s="116"/>
      <c r="GT41" s="116"/>
      <c r="GU41" s="116"/>
      <c r="GV41" s="116"/>
      <c r="GW41" s="116"/>
      <c r="GX41" s="116"/>
      <c r="GY41" s="116"/>
      <c r="GZ41" s="116"/>
      <c r="HA41" s="116"/>
      <c r="HB41" s="116"/>
      <c r="HC41" s="116"/>
      <c r="HD41" s="116"/>
      <c r="HE41" s="116"/>
      <c r="HF41" s="116"/>
      <c r="HG41" s="116"/>
      <c r="HH41" s="116"/>
      <c r="HI41" s="116"/>
      <c r="HJ41" s="116"/>
      <c r="HK41" s="116"/>
      <c r="HL41" s="116"/>
      <c r="HM41" s="116"/>
      <c r="HN41" s="116"/>
      <c r="HO41" s="116"/>
      <c r="HP41" s="116"/>
      <c r="HQ41" s="116"/>
      <c r="HR41" s="116"/>
      <c r="HS41" s="116"/>
      <c r="HT41" s="116"/>
      <c r="HU41" s="116"/>
      <c r="HV41" s="116"/>
      <c r="HW41" s="116"/>
      <c r="HX41" s="116"/>
      <c r="HY41" s="116"/>
      <c r="HZ41" s="116"/>
      <c r="IA41" s="116"/>
      <c r="IB41" s="116"/>
      <c r="IC41" s="116"/>
      <c r="ID41" s="116"/>
      <c r="IE41" s="116"/>
      <c r="IF41" s="116"/>
      <c r="IG41" s="116"/>
      <c r="IH41" s="116"/>
      <c r="II41" s="116"/>
      <c r="IJ41" s="116"/>
      <c r="IK41" s="116"/>
      <c r="IL41" s="116"/>
      <c r="IM41" s="116"/>
      <c r="IN41" s="116"/>
      <c r="IO41" s="116"/>
      <c r="IP41" s="116"/>
      <c r="IQ41" s="116"/>
      <c r="IR41" s="116"/>
      <c r="IS41" s="116"/>
      <c r="IT41" s="116"/>
      <c r="IU41" s="116"/>
      <c r="IV41" s="116"/>
      <c r="IW41" s="116"/>
      <c r="IX41" s="116"/>
      <c r="IY41" s="116"/>
      <c r="IZ41" s="116"/>
    </row>
    <row r="42" spans="2:260" x14ac:dyDescent="0.3">
      <c r="B42" s="152" t="s">
        <v>239</v>
      </c>
      <c r="C42" s="223">
        <f>+(C55/360)*C41</f>
        <v>0</v>
      </c>
      <c r="D42" s="223">
        <f>+(D55/360)*D41</f>
        <v>2259160606.5648146</v>
      </c>
      <c r="E42" s="223">
        <f t="shared" ref="E42:H42" si="11">+(E55/360)*E41</f>
        <v>2509191512.3259201</v>
      </c>
      <c r="F42" s="223">
        <f t="shared" si="11"/>
        <v>2788581895.0807848</v>
      </c>
      <c r="G42" s="223">
        <f t="shared" si="11"/>
        <v>3100444039.0086365</v>
      </c>
      <c r="H42" s="223">
        <f t="shared" si="11"/>
        <v>3446010175.6305838</v>
      </c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16"/>
      <c r="EC42" s="116"/>
      <c r="ED42" s="116"/>
      <c r="EE42" s="116"/>
      <c r="EF42" s="116"/>
      <c r="EG42" s="116"/>
      <c r="EH42" s="116"/>
      <c r="EI42" s="116"/>
      <c r="EJ42" s="116"/>
      <c r="EK42" s="116"/>
      <c r="EL42" s="116"/>
      <c r="EM42" s="116"/>
      <c r="EN42" s="116"/>
      <c r="EO42" s="116"/>
      <c r="EP42" s="116"/>
      <c r="EQ42" s="116"/>
      <c r="ER42" s="116"/>
      <c r="ES42" s="116"/>
      <c r="ET42" s="116"/>
      <c r="EU42" s="116"/>
      <c r="EV42" s="116"/>
      <c r="EW42" s="116"/>
      <c r="EX42" s="116"/>
      <c r="EY42" s="116"/>
      <c r="EZ42" s="116"/>
      <c r="FA42" s="116"/>
      <c r="FB42" s="116"/>
      <c r="FC42" s="116"/>
      <c r="FD42" s="116"/>
      <c r="FE42" s="116"/>
      <c r="FF42" s="116"/>
      <c r="FG42" s="116"/>
      <c r="FH42" s="116"/>
      <c r="FI42" s="116"/>
      <c r="FJ42" s="116"/>
      <c r="FK42" s="116"/>
      <c r="FL42" s="116"/>
      <c r="FM42" s="116"/>
      <c r="FN42" s="116"/>
      <c r="FO42" s="116"/>
      <c r="FP42" s="116"/>
      <c r="FQ42" s="116"/>
      <c r="FR42" s="116"/>
      <c r="FS42" s="116"/>
      <c r="FT42" s="116"/>
      <c r="FU42" s="116"/>
      <c r="FV42" s="116"/>
      <c r="FW42" s="116"/>
      <c r="FX42" s="116"/>
      <c r="FY42" s="116"/>
      <c r="FZ42" s="116"/>
      <c r="GA42" s="116"/>
      <c r="GB42" s="116"/>
      <c r="GC42" s="116"/>
      <c r="GD42" s="116"/>
      <c r="GE42" s="116"/>
      <c r="GF42" s="116"/>
      <c r="GG42" s="116"/>
      <c r="GH42" s="116"/>
      <c r="GI42" s="116"/>
      <c r="GJ42" s="116"/>
      <c r="GK42" s="116"/>
      <c r="GL42" s="116"/>
      <c r="GM42" s="116"/>
      <c r="GN42" s="116"/>
      <c r="GO42" s="116"/>
      <c r="GP42" s="116"/>
      <c r="GQ42" s="116"/>
      <c r="GR42" s="116"/>
      <c r="GS42" s="116"/>
      <c r="GT42" s="116"/>
      <c r="GU42" s="116"/>
      <c r="GV42" s="116"/>
      <c r="GW42" s="116"/>
      <c r="GX42" s="116"/>
      <c r="GY42" s="116"/>
      <c r="GZ42" s="116"/>
      <c r="HA42" s="116"/>
      <c r="HB42" s="116"/>
      <c r="HC42" s="116"/>
      <c r="HD42" s="116"/>
      <c r="HE42" s="116"/>
      <c r="HF42" s="116"/>
      <c r="HG42" s="116"/>
      <c r="HH42" s="116"/>
      <c r="HI42" s="116"/>
      <c r="HJ42" s="116"/>
      <c r="HK42" s="116"/>
      <c r="HL42" s="116"/>
      <c r="HM42" s="116"/>
      <c r="HN42" s="116"/>
      <c r="HO42" s="116"/>
      <c r="HP42" s="116"/>
      <c r="HQ42" s="116"/>
      <c r="HR42" s="116"/>
      <c r="HS42" s="116"/>
      <c r="HT42" s="116"/>
      <c r="HU42" s="116"/>
      <c r="HV42" s="116"/>
      <c r="HW42" s="116"/>
      <c r="HX42" s="116"/>
      <c r="HY42" s="116"/>
      <c r="HZ42" s="116"/>
      <c r="IA42" s="116"/>
      <c r="IB42" s="116"/>
      <c r="IC42" s="116"/>
      <c r="ID42" s="116"/>
      <c r="IE42" s="116"/>
      <c r="IF42" s="116"/>
      <c r="IG42" s="116"/>
      <c r="IH42" s="116"/>
      <c r="II42" s="116"/>
      <c r="IJ42" s="116"/>
      <c r="IK42" s="116"/>
      <c r="IL42" s="116"/>
      <c r="IM42" s="116"/>
      <c r="IN42" s="116"/>
      <c r="IO42" s="116"/>
      <c r="IP42" s="116"/>
      <c r="IQ42" s="116"/>
      <c r="IR42" s="116"/>
      <c r="IS42" s="116"/>
      <c r="IT42" s="116"/>
      <c r="IU42" s="116"/>
      <c r="IV42" s="116"/>
      <c r="IW42" s="116"/>
      <c r="IX42" s="116"/>
      <c r="IY42" s="116"/>
      <c r="IZ42" s="116"/>
    </row>
    <row r="43" spans="2:260" x14ac:dyDescent="0.3">
      <c r="B43" s="220" t="s">
        <v>140</v>
      </c>
      <c r="C43" s="221">
        <f>+C36+C38+C40-C42</f>
        <v>0</v>
      </c>
      <c r="D43" s="258">
        <f>+D36+D38+D40-D42</f>
        <v>9426013316.5295601</v>
      </c>
      <c r="E43" s="258">
        <f t="shared" ref="E43:H43" si="12">+E36+E38+E40-E42</f>
        <v>10394296618.965162</v>
      </c>
      <c r="F43" s="258">
        <f t="shared" si="12"/>
        <v>11614262699.003368</v>
      </c>
      <c r="G43" s="258">
        <f t="shared" si="12"/>
        <v>12822556784.27013</v>
      </c>
      <c r="H43" s="258">
        <f t="shared" si="12"/>
        <v>14155826286.421093</v>
      </c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  <c r="DM43" s="116"/>
      <c r="DN43" s="116"/>
      <c r="DO43" s="116"/>
      <c r="DP43" s="116"/>
      <c r="DQ43" s="116"/>
      <c r="DR43" s="116"/>
      <c r="DS43" s="116"/>
      <c r="DT43" s="116"/>
      <c r="DU43" s="116"/>
      <c r="DV43" s="116"/>
      <c r="DW43" s="116"/>
      <c r="DX43" s="116"/>
      <c r="DY43" s="116"/>
      <c r="DZ43" s="116"/>
      <c r="EA43" s="116"/>
      <c r="EB43" s="116"/>
      <c r="EC43" s="116"/>
      <c r="ED43" s="116"/>
      <c r="EE43" s="116"/>
      <c r="EF43" s="116"/>
      <c r="EG43" s="116"/>
      <c r="EH43" s="116"/>
      <c r="EI43" s="116"/>
      <c r="EJ43" s="116"/>
      <c r="EK43" s="116"/>
      <c r="EL43" s="116"/>
      <c r="EM43" s="116"/>
      <c r="EN43" s="116"/>
      <c r="EO43" s="116"/>
      <c r="EP43" s="116"/>
      <c r="EQ43" s="116"/>
      <c r="ER43" s="116"/>
      <c r="ES43" s="116"/>
      <c r="ET43" s="116"/>
      <c r="EU43" s="116"/>
      <c r="EV43" s="116"/>
      <c r="EW43" s="116"/>
      <c r="EX43" s="116"/>
      <c r="EY43" s="116"/>
      <c r="EZ43" s="116"/>
      <c r="FA43" s="116"/>
      <c r="FB43" s="116"/>
      <c r="FC43" s="116"/>
      <c r="FD43" s="116"/>
      <c r="FE43" s="116"/>
      <c r="FF43" s="116"/>
      <c r="FG43" s="116"/>
      <c r="FH43" s="116"/>
      <c r="FI43" s="116"/>
      <c r="FJ43" s="116"/>
      <c r="FK43" s="116"/>
      <c r="FL43" s="116"/>
      <c r="FM43" s="116"/>
      <c r="FN43" s="116"/>
      <c r="FO43" s="116"/>
      <c r="FP43" s="116"/>
      <c r="FQ43" s="116"/>
      <c r="FR43" s="116"/>
      <c r="FS43" s="116"/>
      <c r="FT43" s="116"/>
      <c r="FU43" s="116"/>
      <c r="FV43" s="116"/>
      <c r="FW43" s="116"/>
      <c r="FX43" s="116"/>
      <c r="FY43" s="116"/>
      <c r="FZ43" s="116"/>
      <c r="GA43" s="116"/>
      <c r="GB43" s="116"/>
      <c r="GC43" s="116"/>
      <c r="GD43" s="116"/>
      <c r="GE43" s="116"/>
      <c r="GF43" s="116"/>
      <c r="GG43" s="116"/>
      <c r="GH43" s="116"/>
      <c r="GI43" s="116"/>
      <c r="GJ43" s="116"/>
      <c r="GK43" s="116"/>
      <c r="GL43" s="116"/>
      <c r="GM43" s="116"/>
      <c r="GN43" s="116"/>
      <c r="GO43" s="116"/>
      <c r="GP43" s="116"/>
      <c r="GQ43" s="116"/>
      <c r="GR43" s="116"/>
      <c r="GS43" s="116"/>
      <c r="GT43" s="116"/>
      <c r="GU43" s="116"/>
      <c r="GV43" s="116"/>
      <c r="GW43" s="116"/>
      <c r="GX43" s="116"/>
      <c r="GY43" s="116"/>
      <c r="GZ43" s="116"/>
      <c r="HA43" s="116"/>
      <c r="HB43" s="116"/>
      <c r="HC43" s="116"/>
      <c r="HD43" s="116"/>
      <c r="HE43" s="116"/>
      <c r="HF43" s="116"/>
      <c r="HG43" s="116"/>
      <c r="HH43" s="116"/>
      <c r="HI43" s="116"/>
      <c r="HJ43" s="116"/>
      <c r="HK43" s="116"/>
      <c r="HL43" s="116"/>
      <c r="HM43" s="116"/>
      <c r="HN43" s="116"/>
      <c r="HO43" s="116"/>
      <c r="HP43" s="116"/>
      <c r="HQ43" s="116"/>
      <c r="HR43" s="116"/>
      <c r="HS43" s="116"/>
      <c r="HT43" s="116"/>
      <c r="HU43" s="116"/>
      <c r="HV43" s="116"/>
      <c r="HW43" s="116"/>
      <c r="HX43" s="116"/>
      <c r="HY43" s="116"/>
      <c r="HZ43" s="116"/>
      <c r="IA43" s="116"/>
      <c r="IB43" s="116"/>
      <c r="IC43" s="116"/>
      <c r="ID43" s="116"/>
      <c r="IE43" s="116"/>
      <c r="IF43" s="116"/>
      <c r="IG43" s="116"/>
      <c r="IH43" s="116"/>
      <c r="II43" s="116"/>
      <c r="IJ43" s="116"/>
      <c r="IK43" s="116"/>
      <c r="IL43" s="116"/>
      <c r="IM43" s="116"/>
      <c r="IN43" s="116"/>
      <c r="IO43" s="116"/>
      <c r="IP43" s="116"/>
      <c r="IQ43" s="116"/>
      <c r="IR43" s="116"/>
      <c r="IS43" s="116"/>
      <c r="IT43" s="116"/>
      <c r="IU43" s="116"/>
      <c r="IV43" s="116"/>
      <c r="IW43" s="116"/>
      <c r="IX43" s="116"/>
      <c r="IY43" s="116"/>
      <c r="IZ43" s="116"/>
    </row>
    <row r="44" spans="2:260" x14ac:dyDescent="0.3">
      <c r="B44" s="185" t="s">
        <v>245</v>
      </c>
      <c r="C44" s="215"/>
      <c r="D44" s="259">
        <f>+D43-C43</f>
        <v>9426013316.5295601</v>
      </c>
      <c r="E44" s="259">
        <f>+E43-D43</f>
        <v>968283302.43560219</v>
      </c>
      <c r="F44" s="259">
        <f t="shared" ref="F44:H44" si="13">+F43-E43</f>
        <v>1219966080.0382061</v>
      </c>
      <c r="G44" s="259">
        <f t="shared" si="13"/>
        <v>1208294085.2667618</v>
      </c>
      <c r="H44" s="259">
        <f t="shared" si="13"/>
        <v>1333269502.1509628</v>
      </c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  <c r="DM44" s="116"/>
      <c r="DN44" s="116"/>
      <c r="DO44" s="116"/>
      <c r="DP44" s="116"/>
      <c r="DQ44" s="116"/>
      <c r="DR44" s="116"/>
      <c r="DS44" s="116"/>
      <c r="DT44" s="116"/>
      <c r="DU44" s="116"/>
      <c r="DV44" s="116"/>
      <c r="DW44" s="116"/>
      <c r="DX44" s="116"/>
      <c r="DY44" s="116"/>
      <c r="DZ44" s="116"/>
      <c r="EA44" s="116"/>
      <c r="EB44" s="116"/>
      <c r="EC44" s="116"/>
      <c r="ED44" s="116"/>
      <c r="EE44" s="116"/>
      <c r="EF44" s="116"/>
      <c r="EG44" s="116"/>
      <c r="EH44" s="116"/>
      <c r="EI44" s="116"/>
      <c r="EJ44" s="116"/>
      <c r="EK44" s="116"/>
      <c r="EL44" s="116"/>
      <c r="EM44" s="116"/>
      <c r="EN44" s="116"/>
      <c r="EO44" s="116"/>
      <c r="EP44" s="116"/>
      <c r="EQ44" s="116"/>
      <c r="ER44" s="116"/>
      <c r="ES44" s="116"/>
      <c r="ET44" s="116"/>
      <c r="EU44" s="116"/>
      <c r="EV44" s="116"/>
      <c r="EW44" s="116"/>
      <c r="EX44" s="116"/>
      <c r="EY44" s="116"/>
      <c r="EZ44" s="116"/>
      <c r="FA44" s="116"/>
      <c r="FB44" s="116"/>
      <c r="FC44" s="116"/>
      <c r="FD44" s="116"/>
      <c r="FE44" s="116"/>
      <c r="FF44" s="116"/>
      <c r="FG44" s="116"/>
      <c r="FH44" s="116"/>
      <c r="FI44" s="116"/>
      <c r="FJ44" s="116"/>
      <c r="FK44" s="116"/>
      <c r="FL44" s="116"/>
      <c r="FM44" s="116"/>
      <c r="FN44" s="116"/>
      <c r="FO44" s="116"/>
      <c r="FP44" s="116"/>
      <c r="FQ44" s="116"/>
      <c r="FR44" s="116"/>
      <c r="FS44" s="116"/>
      <c r="FT44" s="116"/>
      <c r="FU44" s="116"/>
      <c r="FV44" s="116"/>
      <c r="FW44" s="116"/>
      <c r="FX44" s="116"/>
      <c r="FY44" s="116"/>
      <c r="FZ44" s="116"/>
      <c r="GA44" s="116"/>
      <c r="GB44" s="116"/>
      <c r="GC44" s="116"/>
      <c r="GD44" s="116"/>
      <c r="GE44" s="116"/>
      <c r="GF44" s="116"/>
      <c r="GG44" s="116"/>
      <c r="GH44" s="116"/>
      <c r="GI44" s="116"/>
      <c r="GJ44" s="116"/>
      <c r="GK44" s="116"/>
      <c r="GL44" s="116"/>
      <c r="GM44" s="116"/>
      <c r="GN44" s="116"/>
      <c r="GO44" s="116"/>
      <c r="GP44" s="116"/>
      <c r="GQ44" s="116"/>
      <c r="GR44" s="116"/>
      <c r="GS44" s="116"/>
      <c r="GT44" s="116"/>
      <c r="GU44" s="116"/>
      <c r="GV44" s="116"/>
      <c r="GW44" s="116"/>
      <c r="GX44" s="116"/>
      <c r="GY44" s="116"/>
      <c r="GZ44" s="116"/>
      <c r="HA44" s="116"/>
      <c r="HB44" s="116"/>
      <c r="HC44" s="116"/>
      <c r="HD44" s="116"/>
      <c r="HE44" s="116"/>
      <c r="HF44" s="116"/>
      <c r="HG44" s="116"/>
      <c r="HH44" s="116"/>
      <c r="HI44" s="116"/>
      <c r="HJ44" s="116"/>
      <c r="HK44" s="116"/>
      <c r="HL44" s="116"/>
      <c r="HM44" s="116"/>
      <c r="HN44" s="116"/>
      <c r="HO44" s="116"/>
      <c r="HP44" s="116"/>
      <c r="HQ44" s="116"/>
      <c r="HR44" s="116"/>
      <c r="HS44" s="116"/>
      <c r="HT44" s="116"/>
      <c r="HU44" s="116"/>
      <c r="HV44" s="116"/>
      <c r="HW44" s="116"/>
      <c r="HX44" s="116"/>
      <c r="HY44" s="116"/>
      <c r="HZ44" s="116"/>
      <c r="IA44" s="116"/>
      <c r="IB44" s="116"/>
      <c r="IC44" s="116"/>
      <c r="ID44" s="116"/>
      <c r="IE44" s="116"/>
      <c r="IF44" s="116"/>
      <c r="IG44" s="116"/>
      <c r="IH44" s="116"/>
      <c r="II44" s="116"/>
      <c r="IJ44" s="116"/>
      <c r="IK44" s="116"/>
      <c r="IL44" s="116"/>
      <c r="IM44" s="116"/>
      <c r="IN44" s="116"/>
      <c r="IO44" s="116"/>
      <c r="IP44" s="116"/>
      <c r="IQ44" s="116"/>
      <c r="IR44" s="116"/>
      <c r="IS44" s="116"/>
      <c r="IT44" s="116"/>
      <c r="IU44" s="116"/>
      <c r="IV44" s="116"/>
      <c r="IW44" s="116"/>
      <c r="IX44" s="116"/>
      <c r="IY44" s="116"/>
      <c r="IZ44" s="116"/>
    </row>
    <row r="45" spans="2:260" x14ac:dyDescent="0.3">
      <c r="B45" s="139"/>
      <c r="C45" s="136"/>
      <c r="D45" s="186"/>
      <c r="E45" s="132"/>
      <c r="F45" s="132"/>
      <c r="G45" s="132"/>
      <c r="H45" s="132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116"/>
      <c r="EJ45" s="116"/>
      <c r="EK45" s="116"/>
      <c r="EL45" s="116"/>
      <c r="EM45" s="116"/>
      <c r="EN45" s="116"/>
      <c r="EO45" s="116"/>
      <c r="EP45" s="116"/>
      <c r="EQ45" s="116"/>
      <c r="ER45" s="116"/>
      <c r="ES45" s="116"/>
      <c r="ET45" s="116"/>
      <c r="EU45" s="116"/>
      <c r="EV45" s="116"/>
      <c r="EW45" s="116"/>
      <c r="EX45" s="116"/>
      <c r="EY45" s="116"/>
      <c r="EZ45" s="116"/>
      <c r="FA45" s="116"/>
      <c r="FB45" s="116"/>
      <c r="FC45" s="116"/>
      <c r="FD45" s="116"/>
      <c r="FE45" s="116"/>
      <c r="FF45" s="116"/>
      <c r="FG45" s="116"/>
      <c r="FH45" s="116"/>
      <c r="FI45" s="116"/>
      <c r="FJ45" s="116"/>
      <c r="FK45" s="116"/>
      <c r="FL45" s="116"/>
      <c r="FM45" s="116"/>
      <c r="FN45" s="116"/>
      <c r="FO45" s="116"/>
      <c r="FP45" s="116"/>
      <c r="FQ45" s="116"/>
      <c r="FR45" s="116"/>
      <c r="FS45" s="116"/>
      <c r="FT45" s="116"/>
      <c r="FU45" s="116"/>
      <c r="FV45" s="116"/>
      <c r="FW45" s="116"/>
      <c r="FX45" s="116"/>
      <c r="FY45" s="116"/>
      <c r="FZ45" s="116"/>
      <c r="GA45" s="116"/>
      <c r="GB45" s="116"/>
      <c r="GC45" s="116"/>
      <c r="GD45" s="116"/>
      <c r="GE45" s="116"/>
      <c r="GF45" s="116"/>
      <c r="GG45" s="116"/>
      <c r="GH45" s="116"/>
      <c r="GI45" s="116"/>
      <c r="GJ45" s="116"/>
      <c r="GK45" s="116"/>
      <c r="GL45" s="116"/>
      <c r="GM45" s="116"/>
      <c r="GN45" s="116"/>
      <c r="GO45" s="116"/>
      <c r="GP45" s="116"/>
      <c r="GQ45" s="116"/>
      <c r="GR45" s="116"/>
      <c r="GS45" s="116"/>
      <c r="GT45" s="116"/>
      <c r="GU45" s="116"/>
      <c r="GV45" s="116"/>
      <c r="GW45" s="116"/>
      <c r="GX45" s="116"/>
      <c r="GY45" s="116"/>
      <c r="GZ45" s="116"/>
      <c r="HA45" s="116"/>
      <c r="HB45" s="116"/>
      <c r="HC45" s="116"/>
      <c r="HD45" s="116"/>
      <c r="HE45" s="116"/>
      <c r="HF45" s="116"/>
      <c r="HG45" s="116"/>
      <c r="HH45" s="116"/>
      <c r="HI45" s="116"/>
      <c r="HJ45" s="116"/>
      <c r="HK45" s="116"/>
      <c r="HL45" s="116"/>
      <c r="HM45" s="116"/>
      <c r="HN45" s="116"/>
      <c r="HO45" s="116"/>
      <c r="HP45" s="116"/>
      <c r="HQ45" s="116"/>
      <c r="HR45" s="116"/>
      <c r="HS45" s="116"/>
      <c r="HT45" s="116"/>
      <c r="HU45" s="116"/>
      <c r="HV45" s="116"/>
      <c r="HW45" s="116"/>
      <c r="HX45" s="116"/>
      <c r="HY45" s="116"/>
      <c r="HZ45" s="116"/>
      <c r="IA45" s="116"/>
      <c r="IB45" s="116"/>
      <c r="IC45" s="116"/>
      <c r="ID45" s="116"/>
      <c r="IE45" s="116"/>
      <c r="IF45" s="116"/>
      <c r="IG45" s="116"/>
      <c r="IH45" s="116"/>
      <c r="II45" s="116"/>
      <c r="IJ45" s="116"/>
      <c r="IK45" s="116"/>
      <c r="IL45" s="116"/>
      <c r="IM45" s="116"/>
      <c r="IN45" s="116"/>
      <c r="IO45" s="116"/>
      <c r="IP45" s="116"/>
      <c r="IQ45" s="116"/>
      <c r="IR45" s="116"/>
      <c r="IS45" s="116"/>
      <c r="IT45" s="116"/>
      <c r="IU45" s="116"/>
      <c r="IV45" s="116"/>
      <c r="IW45" s="116"/>
      <c r="IX45" s="116"/>
      <c r="IY45" s="116"/>
      <c r="IZ45" s="116"/>
    </row>
    <row r="46" spans="2:260" x14ac:dyDescent="0.3">
      <c r="B46" s="371" t="s">
        <v>142</v>
      </c>
      <c r="C46" s="372"/>
      <c r="D46" s="219"/>
      <c r="E46" s="132"/>
      <c r="F46" s="132"/>
      <c r="G46" s="132"/>
      <c r="H46" s="132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16"/>
      <c r="EO46" s="116"/>
      <c r="EP46" s="116"/>
      <c r="EQ46" s="116"/>
      <c r="ER46" s="116"/>
      <c r="ES46" s="116"/>
      <c r="ET46" s="116"/>
      <c r="EU46" s="116"/>
      <c r="EV46" s="116"/>
      <c r="EW46" s="116"/>
      <c r="EX46" s="116"/>
      <c r="EY46" s="116"/>
      <c r="EZ46" s="116"/>
      <c r="FA46" s="116"/>
      <c r="FB46" s="116"/>
      <c r="FC46" s="116"/>
      <c r="FD46" s="116"/>
      <c r="FE46" s="116"/>
      <c r="FF46" s="116"/>
      <c r="FG46" s="116"/>
      <c r="FH46" s="116"/>
      <c r="FI46" s="116"/>
      <c r="FJ46" s="116"/>
      <c r="FK46" s="116"/>
      <c r="FL46" s="116"/>
      <c r="FM46" s="116"/>
      <c r="FN46" s="116"/>
      <c r="FO46" s="116"/>
      <c r="FP46" s="116"/>
      <c r="FQ46" s="116"/>
      <c r="FR46" s="116"/>
      <c r="FS46" s="116"/>
      <c r="FT46" s="116"/>
      <c r="FU46" s="116"/>
      <c r="FV46" s="116"/>
      <c r="FW46" s="116"/>
      <c r="FX46" s="116"/>
      <c r="FY46" s="116"/>
      <c r="FZ46" s="116"/>
      <c r="GA46" s="116"/>
      <c r="GB46" s="116"/>
      <c r="GC46" s="116"/>
      <c r="GD46" s="116"/>
      <c r="GE46" s="116"/>
      <c r="GF46" s="116"/>
      <c r="GG46" s="116"/>
      <c r="GH46" s="116"/>
      <c r="GI46" s="116"/>
      <c r="GJ46" s="116"/>
      <c r="GK46" s="116"/>
      <c r="GL46" s="116"/>
      <c r="GM46" s="116"/>
      <c r="GN46" s="116"/>
      <c r="GO46" s="116"/>
      <c r="GP46" s="116"/>
      <c r="GQ46" s="116"/>
      <c r="GR46" s="116"/>
      <c r="GS46" s="116"/>
      <c r="GT46" s="116"/>
      <c r="GU46" s="116"/>
      <c r="GV46" s="116"/>
      <c r="GW46" s="116"/>
      <c r="GX46" s="116"/>
      <c r="GY46" s="116"/>
      <c r="GZ46" s="116"/>
      <c r="HA46" s="116"/>
      <c r="HB46" s="116"/>
      <c r="HC46" s="116"/>
      <c r="HD46" s="116"/>
      <c r="HE46" s="116"/>
      <c r="HF46" s="116"/>
      <c r="HG46" s="116"/>
      <c r="HH46" s="116"/>
      <c r="HI46" s="116"/>
      <c r="HJ46" s="116"/>
      <c r="HK46" s="116"/>
      <c r="HL46" s="116"/>
      <c r="HM46" s="116"/>
      <c r="HN46" s="116"/>
      <c r="HO46" s="116"/>
      <c r="HP46" s="116"/>
      <c r="HQ46" s="116"/>
      <c r="HR46" s="116"/>
      <c r="HS46" s="116"/>
      <c r="HT46" s="116"/>
      <c r="HU46" s="116"/>
      <c r="HV46" s="116"/>
      <c r="HW46" s="116"/>
      <c r="HX46" s="116"/>
      <c r="HY46" s="116"/>
      <c r="HZ46" s="116"/>
      <c r="IA46" s="116"/>
      <c r="IB46" s="116"/>
      <c r="IC46" s="116"/>
      <c r="ID46" s="116"/>
      <c r="IE46" s="116"/>
      <c r="IF46" s="116"/>
      <c r="IG46" s="116"/>
      <c r="IH46" s="116"/>
      <c r="II46" s="116"/>
      <c r="IJ46" s="116"/>
      <c r="IK46" s="116"/>
      <c r="IL46" s="116"/>
      <c r="IM46" s="116"/>
      <c r="IN46" s="116"/>
      <c r="IO46" s="116"/>
      <c r="IP46" s="116"/>
      <c r="IQ46" s="116"/>
      <c r="IR46" s="116"/>
      <c r="IS46" s="116"/>
      <c r="IT46" s="116"/>
      <c r="IU46" s="116"/>
      <c r="IV46" s="116"/>
      <c r="IW46" s="116"/>
      <c r="IX46" s="116"/>
      <c r="IY46" s="116"/>
      <c r="IZ46" s="116"/>
    </row>
    <row r="47" spans="2:260" x14ac:dyDescent="0.3">
      <c r="B47" s="377" t="s">
        <v>143</v>
      </c>
      <c r="C47" s="377"/>
      <c r="D47" s="132"/>
      <c r="E47" s="132"/>
      <c r="F47" s="132"/>
      <c r="G47" s="132"/>
      <c r="H47" s="132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  <c r="DM47" s="116"/>
      <c r="DN47" s="116"/>
      <c r="DO47" s="116"/>
      <c r="DP47" s="116"/>
      <c r="DQ47" s="116"/>
      <c r="DR47" s="116"/>
      <c r="DS47" s="116"/>
      <c r="DT47" s="116"/>
      <c r="DU47" s="116"/>
      <c r="DV47" s="116"/>
      <c r="DW47" s="116"/>
      <c r="DX47" s="116"/>
      <c r="DY47" s="116"/>
      <c r="DZ47" s="116"/>
      <c r="EA47" s="116"/>
      <c r="EB47" s="116"/>
      <c r="EC47" s="116"/>
      <c r="ED47" s="116"/>
      <c r="EE47" s="116"/>
      <c r="EF47" s="116"/>
      <c r="EG47" s="116"/>
      <c r="EH47" s="116"/>
      <c r="EI47" s="116"/>
      <c r="EJ47" s="116"/>
      <c r="EK47" s="116"/>
      <c r="EL47" s="116"/>
      <c r="EM47" s="116"/>
      <c r="EN47" s="116"/>
      <c r="EO47" s="116"/>
      <c r="EP47" s="116"/>
      <c r="EQ47" s="116"/>
      <c r="ER47" s="116"/>
      <c r="ES47" s="116"/>
      <c r="ET47" s="116"/>
      <c r="EU47" s="116"/>
      <c r="EV47" s="116"/>
      <c r="EW47" s="116"/>
      <c r="EX47" s="116"/>
      <c r="EY47" s="116"/>
      <c r="EZ47" s="116"/>
      <c r="FA47" s="116"/>
      <c r="FB47" s="116"/>
      <c r="FC47" s="116"/>
      <c r="FD47" s="116"/>
      <c r="FE47" s="116"/>
      <c r="FF47" s="116"/>
      <c r="FG47" s="116"/>
      <c r="FH47" s="116"/>
      <c r="FI47" s="116"/>
      <c r="FJ47" s="116"/>
      <c r="FK47" s="116"/>
      <c r="FL47" s="116"/>
      <c r="FM47" s="116"/>
      <c r="FN47" s="116"/>
      <c r="FO47" s="116"/>
      <c r="FP47" s="116"/>
      <c r="FQ47" s="116"/>
      <c r="FR47" s="116"/>
      <c r="FS47" s="116"/>
      <c r="FT47" s="116"/>
      <c r="FU47" s="116"/>
      <c r="FV47" s="116"/>
      <c r="FW47" s="116"/>
      <c r="FX47" s="116"/>
      <c r="FY47" s="116"/>
      <c r="FZ47" s="116"/>
      <c r="GA47" s="116"/>
      <c r="GB47" s="116"/>
      <c r="GC47" s="116"/>
      <c r="GD47" s="116"/>
      <c r="GE47" s="116"/>
      <c r="GF47" s="116"/>
      <c r="GG47" s="116"/>
      <c r="GH47" s="116"/>
      <c r="GI47" s="116"/>
      <c r="GJ47" s="116"/>
      <c r="GK47" s="116"/>
      <c r="GL47" s="116"/>
      <c r="GM47" s="116"/>
      <c r="GN47" s="116"/>
      <c r="GO47" s="116"/>
      <c r="GP47" s="116"/>
      <c r="GQ47" s="116"/>
      <c r="GR47" s="116"/>
      <c r="GS47" s="116"/>
      <c r="GT47" s="116"/>
      <c r="GU47" s="116"/>
      <c r="GV47" s="116"/>
      <c r="GW47" s="116"/>
      <c r="GX47" s="116"/>
      <c r="GY47" s="116"/>
      <c r="GZ47" s="116"/>
      <c r="HA47" s="116"/>
      <c r="HB47" s="116"/>
      <c r="HC47" s="116"/>
      <c r="HD47" s="116"/>
      <c r="HE47" s="116"/>
      <c r="HF47" s="116"/>
      <c r="HG47" s="116"/>
      <c r="HH47" s="116"/>
      <c r="HI47" s="116"/>
      <c r="HJ47" s="116"/>
      <c r="HK47" s="116"/>
      <c r="HL47" s="116"/>
      <c r="HM47" s="116"/>
      <c r="HN47" s="116"/>
      <c r="HO47" s="116"/>
      <c r="HP47" s="116"/>
      <c r="HQ47" s="116"/>
      <c r="HR47" s="116"/>
      <c r="HS47" s="116"/>
      <c r="HT47" s="116"/>
      <c r="HU47" s="116"/>
      <c r="HV47" s="116"/>
      <c r="HW47" s="116"/>
      <c r="HX47" s="116"/>
      <c r="HY47" s="116"/>
      <c r="HZ47" s="116"/>
      <c r="IA47" s="116"/>
      <c r="IB47" s="116"/>
      <c r="IC47" s="116"/>
      <c r="ID47" s="116"/>
      <c r="IE47" s="116"/>
      <c r="IF47" s="116"/>
      <c r="IG47" s="116"/>
      <c r="IH47" s="116"/>
      <c r="II47" s="116"/>
      <c r="IJ47" s="116"/>
      <c r="IK47" s="116"/>
      <c r="IL47" s="116"/>
      <c r="IM47" s="116"/>
      <c r="IN47" s="116"/>
      <c r="IO47" s="116"/>
      <c r="IP47" s="116"/>
      <c r="IQ47" s="116"/>
      <c r="IR47" s="116"/>
      <c r="IS47" s="116"/>
      <c r="IT47" s="116"/>
      <c r="IU47" s="116"/>
      <c r="IV47" s="116"/>
      <c r="IW47" s="116"/>
      <c r="IX47" s="116"/>
      <c r="IY47" s="116"/>
      <c r="IZ47" s="116"/>
    </row>
    <row r="48" spans="2:260" x14ac:dyDescent="0.3">
      <c r="B48" s="138" t="s">
        <v>144</v>
      </c>
      <c r="C48" s="149" t="s">
        <v>234</v>
      </c>
      <c r="D48" s="205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  <c r="FE48" s="116"/>
      <c r="FF48" s="116"/>
      <c r="FG48" s="116"/>
      <c r="FH48" s="116"/>
      <c r="FI48" s="116"/>
      <c r="FJ48" s="116"/>
      <c r="FK48" s="116"/>
      <c r="FL48" s="116"/>
      <c r="FM48" s="116"/>
      <c r="FN48" s="116"/>
      <c r="FO48" s="116"/>
      <c r="FP48" s="116"/>
      <c r="FQ48" s="116"/>
      <c r="FR48" s="116"/>
      <c r="FS48" s="116"/>
      <c r="FT48" s="116"/>
      <c r="FU48" s="116"/>
      <c r="FV48" s="116"/>
      <c r="FW48" s="116"/>
      <c r="FX48" s="116"/>
      <c r="FY48" s="116"/>
      <c r="FZ48" s="116"/>
      <c r="GA48" s="116"/>
      <c r="GB48" s="116"/>
      <c r="GC48" s="116"/>
      <c r="GD48" s="116"/>
      <c r="GE48" s="116"/>
      <c r="GF48" s="116"/>
      <c r="GG48" s="116"/>
      <c r="GH48" s="116"/>
      <c r="GI48" s="116"/>
      <c r="GJ48" s="116"/>
      <c r="GK48" s="116"/>
      <c r="GL48" s="116"/>
      <c r="GM48" s="116"/>
      <c r="GN48" s="116"/>
      <c r="GO48" s="116"/>
      <c r="GP48" s="116"/>
      <c r="GQ48" s="116"/>
      <c r="GR48" s="116"/>
      <c r="GS48" s="116"/>
      <c r="GT48" s="116"/>
      <c r="GU48" s="116"/>
      <c r="GV48" s="116"/>
      <c r="GW48" s="116"/>
      <c r="GX48" s="116"/>
      <c r="GY48" s="116"/>
      <c r="GZ48" s="116"/>
      <c r="HA48" s="116"/>
      <c r="HB48" s="116"/>
      <c r="HC48" s="116"/>
      <c r="HD48" s="116"/>
      <c r="HE48" s="116"/>
      <c r="HF48" s="116"/>
      <c r="HG48" s="116"/>
      <c r="HH48" s="116"/>
      <c r="HI48" s="116"/>
      <c r="HJ48" s="116"/>
      <c r="HK48" s="116"/>
      <c r="HL48" s="116"/>
      <c r="HM48" s="116"/>
      <c r="HN48" s="116"/>
      <c r="HO48" s="116"/>
      <c r="HP48" s="116"/>
      <c r="HQ48" s="116"/>
      <c r="HR48" s="116"/>
      <c r="HS48" s="116"/>
      <c r="HT48" s="116"/>
      <c r="HU48" s="116"/>
      <c r="HV48" s="116"/>
      <c r="HW48" s="116"/>
      <c r="HX48" s="116"/>
      <c r="HY48" s="116"/>
      <c r="HZ48" s="116"/>
      <c r="IA48" s="116"/>
      <c r="IB48" s="116"/>
      <c r="IC48" s="116"/>
      <c r="ID48" s="116"/>
      <c r="IE48" s="116"/>
      <c r="IF48" s="116"/>
      <c r="IG48" s="116"/>
      <c r="IH48" s="116"/>
      <c r="II48" s="116"/>
      <c r="IJ48" s="116"/>
      <c r="IK48" s="116"/>
      <c r="IL48" s="116"/>
      <c r="IM48" s="116"/>
      <c r="IN48" s="116"/>
      <c r="IO48" s="116"/>
      <c r="IP48" s="116"/>
      <c r="IQ48" s="116"/>
      <c r="IR48" s="116"/>
      <c r="IS48" s="116"/>
      <c r="IT48" s="116"/>
      <c r="IU48" s="116"/>
      <c r="IV48" s="116"/>
      <c r="IW48" s="116"/>
      <c r="IX48" s="116"/>
      <c r="IY48" s="116"/>
      <c r="IZ48" s="116"/>
    </row>
    <row r="49" spans="2:260" x14ac:dyDescent="0.3">
      <c r="B49" s="138" t="s">
        <v>145</v>
      </c>
      <c r="C49" s="149">
        <v>5</v>
      </c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116"/>
      <c r="GL49" s="116"/>
      <c r="GM49" s="116"/>
      <c r="GN49" s="116"/>
      <c r="GO49" s="116"/>
      <c r="GP49" s="116"/>
      <c r="GQ49" s="116"/>
      <c r="GR49" s="116"/>
      <c r="GS49" s="116"/>
      <c r="GT49" s="116"/>
      <c r="GU49" s="116"/>
      <c r="GV49" s="116"/>
      <c r="GW49" s="116"/>
      <c r="GX49" s="116"/>
      <c r="GY49" s="116"/>
      <c r="GZ49" s="116"/>
      <c r="HA49" s="116"/>
      <c r="HB49" s="116"/>
      <c r="HC49" s="116"/>
      <c r="HD49" s="116"/>
      <c r="HE49" s="116"/>
      <c r="HF49" s="116"/>
      <c r="HG49" s="116"/>
      <c r="HH49" s="116"/>
      <c r="HI49" s="116"/>
      <c r="HJ49" s="116"/>
      <c r="HK49" s="116"/>
      <c r="HL49" s="116"/>
      <c r="HM49" s="116"/>
      <c r="HN49" s="116"/>
      <c r="HO49" s="116"/>
      <c r="HP49" s="116"/>
      <c r="HQ49" s="116"/>
      <c r="HR49" s="116"/>
      <c r="HS49" s="116"/>
      <c r="HT49" s="116"/>
      <c r="HU49" s="116"/>
      <c r="HV49" s="116"/>
      <c r="HW49" s="116"/>
      <c r="HX49" s="116"/>
      <c r="HY49" s="116"/>
      <c r="HZ49" s="116"/>
      <c r="IA49" s="116"/>
      <c r="IB49" s="116"/>
      <c r="IC49" s="116"/>
      <c r="ID49" s="116"/>
      <c r="IE49" s="116"/>
      <c r="IF49" s="116"/>
      <c r="IG49" s="116"/>
      <c r="IH49" s="116"/>
      <c r="II49" s="116"/>
      <c r="IJ49" s="116"/>
      <c r="IK49" s="116"/>
      <c r="IL49" s="116"/>
      <c r="IM49" s="116"/>
      <c r="IN49" s="116"/>
      <c r="IO49" s="116"/>
      <c r="IP49" s="116"/>
      <c r="IQ49" s="116"/>
      <c r="IR49" s="116"/>
      <c r="IS49" s="116"/>
      <c r="IT49" s="116"/>
      <c r="IU49" s="116"/>
      <c r="IV49" s="116"/>
      <c r="IW49" s="116"/>
      <c r="IX49" s="116"/>
      <c r="IY49" s="116"/>
      <c r="IZ49" s="116"/>
    </row>
    <row r="50" spans="2:260" x14ac:dyDescent="0.3">
      <c r="B50" s="115"/>
      <c r="C50" s="115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/>
      <c r="DW50" s="116"/>
      <c r="DX50" s="116"/>
      <c r="DY50" s="116"/>
      <c r="DZ50" s="116"/>
      <c r="EA50" s="116"/>
      <c r="EB50" s="116"/>
      <c r="EC50" s="116"/>
      <c r="ED50" s="116"/>
      <c r="EE50" s="116"/>
      <c r="EF50" s="116"/>
      <c r="EG50" s="116"/>
      <c r="EH50" s="116"/>
      <c r="EI50" s="116"/>
      <c r="EJ50" s="116"/>
      <c r="EK50" s="116"/>
      <c r="EL50" s="116"/>
      <c r="EM50" s="116"/>
      <c r="EN50" s="116"/>
      <c r="EO50" s="116"/>
      <c r="EP50" s="116"/>
      <c r="EQ50" s="116"/>
      <c r="ER50" s="116"/>
      <c r="ES50" s="116"/>
      <c r="ET50" s="116"/>
      <c r="EU50" s="116"/>
      <c r="EV50" s="116"/>
      <c r="EW50" s="116"/>
      <c r="EX50" s="116"/>
      <c r="EY50" s="116"/>
      <c r="EZ50" s="116"/>
      <c r="FA50" s="116"/>
      <c r="FB50" s="116"/>
      <c r="FC50" s="116"/>
      <c r="FD50" s="116"/>
      <c r="FE50" s="116"/>
      <c r="FF50" s="116"/>
      <c r="FG50" s="116"/>
      <c r="FH50" s="116"/>
      <c r="FI50" s="116"/>
      <c r="FJ50" s="116"/>
      <c r="FK50" s="116"/>
      <c r="FL50" s="116"/>
      <c r="FM50" s="116"/>
      <c r="FN50" s="116"/>
      <c r="FO50" s="116"/>
      <c r="FP50" s="116"/>
      <c r="FQ50" s="116"/>
      <c r="FR50" s="116"/>
      <c r="FS50" s="116"/>
      <c r="FT50" s="116"/>
      <c r="FU50" s="116"/>
      <c r="FV50" s="116"/>
      <c r="FW50" s="116"/>
      <c r="FX50" s="116"/>
      <c r="FY50" s="116"/>
      <c r="FZ50" s="116"/>
      <c r="GA50" s="116"/>
      <c r="GB50" s="116"/>
      <c r="GC50" s="116"/>
      <c r="GD50" s="116"/>
      <c r="GE50" s="116"/>
      <c r="GF50" s="116"/>
      <c r="GG50" s="116"/>
      <c r="GH50" s="116"/>
      <c r="GI50" s="116"/>
      <c r="GJ50" s="116"/>
      <c r="GK50" s="116"/>
      <c r="GL50" s="116"/>
      <c r="GM50" s="116"/>
      <c r="GN50" s="116"/>
      <c r="GO50" s="116"/>
      <c r="GP50" s="116"/>
      <c r="GQ50" s="116"/>
      <c r="GR50" s="116"/>
      <c r="GS50" s="116"/>
      <c r="GT50" s="116"/>
      <c r="GU50" s="116"/>
      <c r="GV50" s="116"/>
      <c r="GW50" s="116"/>
      <c r="GX50" s="116"/>
      <c r="GY50" s="116"/>
      <c r="GZ50" s="116"/>
      <c r="HA50" s="116"/>
      <c r="HB50" s="116"/>
      <c r="HC50" s="116"/>
      <c r="HD50" s="116"/>
      <c r="HE50" s="116"/>
      <c r="HF50" s="116"/>
      <c r="HG50" s="116"/>
      <c r="HH50" s="116"/>
      <c r="HI50" s="116"/>
      <c r="HJ50" s="116"/>
      <c r="HK50" s="116"/>
      <c r="HL50" s="116"/>
      <c r="HM50" s="116"/>
      <c r="HN50" s="116"/>
      <c r="HO50" s="116"/>
      <c r="HP50" s="116"/>
      <c r="HQ50" s="116"/>
      <c r="HR50" s="116"/>
      <c r="HS50" s="116"/>
      <c r="HT50" s="116"/>
      <c r="HU50" s="116"/>
      <c r="HV50" s="116"/>
      <c r="HW50" s="116"/>
      <c r="HX50" s="116"/>
      <c r="HY50" s="116"/>
      <c r="HZ50" s="116"/>
      <c r="IA50" s="116"/>
      <c r="IB50" s="116"/>
      <c r="IC50" s="116"/>
      <c r="ID50" s="116"/>
      <c r="IE50" s="116"/>
      <c r="IF50" s="116"/>
      <c r="IG50" s="116"/>
      <c r="IH50" s="116"/>
      <c r="II50" s="116"/>
      <c r="IJ50" s="116"/>
      <c r="IK50" s="116"/>
      <c r="IL50" s="116"/>
      <c r="IM50" s="116"/>
      <c r="IN50" s="116"/>
      <c r="IO50" s="116"/>
      <c r="IP50" s="116"/>
      <c r="IQ50" s="116"/>
      <c r="IR50" s="116"/>
      <c r="IS50" s="116"/>
      <c r="IT50" s="116"/>
      <c r="IU50" s="116"/>
      <c r="IV50" s="116"/>
      <c r="IW50" s="116"/>
      <c r="IX50" s="116"/>
      <c r="IY50" s="116"/>
      <c r="IZ50" s="116"/>
    </row>
    <row r="51" spans="2:260" x14ac:dyDescent="0.3">
      <c r="B51" s="370" t="s">
        <v>146</v>
      </c>
      <c r="C51" s="370"/>
      <c r="D51" s="370"/>
      <c r="E51" s="370"/>
      <c r="F51" s="370"/>
      <c r="G51" s="370"/>
      <c r="H51" s="370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116"/>
      <c r="GL51" s="116"/>
      <c r="GM51" s="116"/>
      <c r="GN51" s="116"/>
      <c r="GO51" s="116"/>
      <c r="GP51" s="116"/>
      <c r="GQ51" s="116"/>
      <c r="GR51" s="116"/>
      <c r="GS51" s="116"/>
      <c r="GT51" s="116"/>
      <c r="GU51" s="116"/>
      <c r="GV51" s="116"/>
      <c r="GW51" s="116"/>
      <c r="GX51" s="116"/>
      <c r="GY51" s="116"/>
      <c r="GZ51" s="116"/>
      <c r="HA51" s="116"/>
      <c r="HB51" s="116"/>
      <c r="HC51" s="116"/>
      <c r="HD51" s="116"/>
      <c r="HE51" s="116"/>
      <c r="HF51" s="116"/>
      <c r="HG51" s="116"/>
      <c r="HH51" s="116"/>
      <c r="HI51" s="116"/>
      <c r="HJ51" s="116"/>
      <c r="HK51" s="116"/>
      <c r="HL51" s="116"/>
      <c r="HM51" s="116"/>
      <c r="HN51" s="116"/>
      <c r="HO51" s="116"/>
      <c r="HP51" s="116"/>
      <c r="HQ51" s="116"/>
      <c r="HR51" s="116"/>
      <c r="HS51" s="116"/>
      <c r="HT51" s="116"/>
      <c r="HU51" s="116"/>
      <c r="HV51" s="116"/>
      <c r="HW51" s="116"/>
      <c r="HX51" s="116"/>
      <c r="HY51" s="116"/>
      <c r="HZ51" s="116"/>
      <c r="IA51" s="116"/>
      <c r="IB51" s="116"/>
      <c r="IC51" s="116"/>
      <c r="ID51" s="116"/>
      <c r="IE51" s="116"/>
      <c r="IF51" s="116"/>
      <c r="IG51" s="116"/>
      <c r="IH51" s="116"/>
      <c r="II51" s="116"/>
      <c r="IJ51" s="116"/>
      <c r="IK51" s="116"/>
      <c r="IL51" s="116"/>
      <c r="IM51" s="116"/>
      <c r="IN51" s="116"/>
      <c r="IO51" s="116"/>
      <c r="IP51" s="116"/>
      <c r="IQ51" s="116"/>
      <c r="IR51" s="116"/>
      <c r="IS51" s="116"/>
      <c r="IT51" s="116"/>
      <c r="IU51" s="116"/>
      <c r="IV51" s="116"/>
      <c r="IW51" s="116"/>
      <c r="IX51" s="116"/>
      <c r="IY51" s="116"/>
      <c r="IZ51" s="116"/>
    </row>
    <row r="52" spans="2:260" x14ac:dyDescent="0.3">
      <c r="B52" s="377" t="s">
        <v>147</v>
      </c>
      <c r="C52" s="377"/>
      <c r="D52" s="377"/>
      <c r="E52" s="377"/>
      <c r="F52" s="377"/>
      <c r="G52" s="377"/>
      <c r="H52" s="377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/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116"/>
      <c r="FL52" s="116"/>
      <c r="FM52" s="116"/>
      <c r="FN52" s="116"/>
      <c r="FO52" s="116"/>
      <c r="FP52" s="116"/>
      <c r="FQ52" s="116"/>
      <c r="FR52" s="116"/>
      <c r="FS52" s="116"/>
      <c r="FT52" s="116"/>
      <c r="FU52" s="116"/>
      <c r="FV52" s="116"/>
      <c r="FW52" s="116"/>
      <c r="FX52" s="116"/>
      <c r="FY52" s="116"/>
      <c r="FZ52" s="116"/>
      <c r="GA52" s="116"/>
      <c r="GB52" s="116"/>
      <c r="GC52" s="116"/>
      <c r="GD52" s="116"/>
      <c r="GE52" s="116"/>
      <c r="GF52" s="116"/>
      <c r="GG52" s="116"/>
      <c r="GH52" s="116"/>
      <c r="GI52" s="116"/>
      <c r="GJ52" s="116"/>
      <c r="GK52" s="116"/>
      <c r="GL52" s="116"/>
      <c r="GM52" s="116"/>
      <c r="GN52" s="116"/>
      <c r="GO52" s="116"/>
      <c r="GP52" s="116"/>
      <c r="GQ52" s="116"/>
      <c r="GR52" s="116"/>
      <c r="GS52" s="116"/>
      <c r="GT52" s="116"/>
      <c r="GU52" s="116"/>
      <c r="GV52" s="116"/>
      <c r="GW52" s="116"/>
      <c r="GX52" s="116"/>
      <c r="GY52" s="116"/>
      <c r="GZ52" s="116"/>
      <c r="HA52" s="116"/>
      <c r="HB52" s="116"/>
      <c r="HC52" s="116"/>
      <c r="HD52" s="116"/>
      <c r="HE52" s="116"/>
      <c r="HF52" s="116"/>
      <c r="HG52" s="116"/>
      <c r="HH52" s="116"/>
      <c r="HI52" s="116"/>
      <c r="HJ52" s="116"/>
      <c r="HK52" s="116"/>
      <c r="HL52" s="116"/>
      <c r="HM52" s="116"/>
      <c r="HN52" s="116"/>
      <c r="HO52" s="116"/>
      <c r="HP52" s="116"/>
      <c r="HQ52" s="116"/>
      <c r="HR52" s="116"/>
      <c r="HS52" s="116"/>
      <c r="HT52" s="116"/>
      <c r="HU52" s="116"/>
      <c r="HV52" s="116"/>
      <c r="HW52" s="116"/>
      <c r="HX52" s="116"/>
      <c r="HY52" s="116"/>
      <c r="HZ52" s="116"/>
      <c r="IA52" s="116"/>
      <c r="IB52" s="116"/>
      <c r="IC52" s="116"/>
      <c r="ID52" s="116"/>
      <c r="IE52" s="116"/>
      <c r="IF52" s="116"/>
      <c r="IG52" s="116"/>
      <c r="IH52" s="116"/>
      <c r="II52" s="116"/>
      <c r="IJ52" s="116"/>
      <c r="IK52" s="116"/>
      <c r="IL52" s="116"/>
      <c r="IM52" s="116"/>
      <c r="IN52" s="116"/>
      <c r="IO52" s="116"/>
      <c r="IP52" s="116"/>
      <c r="IQ52" s="116"/>
      <c r="IR52" s="116"/>
      <c r="IS52" s="116"/>
      <c r="IT52" s="116"/>
      <c r="IU52" s="116"/>
      <c r="IV52" s="116"/>
      <c r="IW52" s="116"/>
      <c r="IX52" s="116"/>
      <c r="IY52" s="116"/>
      <c r="IZ52" s="116"/>
    </row>
    <row r="53" spans="2:260" x14ac:dyDescent="0.3">
      <c r="B53" s="164" t="s">
        <v>76</v>
      </c>
      <c r="C53" s="165">
        <v>0</v>
      </c>
      <c r="D53" s="165">
        <v>1</v>
      </c>
      <c r="E53" s="165">
        <v>2</v>
      </c>
      <c r="F53" s="165">
        <v>3</v>
      </c>
      <c r="G53" s="165">
        <v>4</v>
      </c>
      <c r="H53" s="165">
        <v>5</v>
      </c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28"/>
      <c r="CE53" s="128"/>
      <c r="CF53" s="128"/>
      <c r="CG53" s="128"/>
      <c r="CH53" s="128"/>
      <c r="CI53" s="128"/>
      <c r="CJ53" s="128"/>
      <c r="CK53" s="128"/>
      <c r="CL53" s="128"/>
      <c r="CM53" s="128"/>
      <c r="CN53" s="128"/>
      <c r="CO53" s="128"/>
      <c r="CP53" s="128"/>
      <c r="CQ53" s="128"/>
      <c r="CR53" s="128"/>
      <c r="CS53" s="128"/>
      <c r="CT53" s="128"/>
      <c r="CU53" s="128"/>
      <c r="CV53" s="128"/>
      <c r="CW53" s="128"/>
      <c r="CX53" s="128"/>
      <c r="CY53" s="128"/>
      <c r="CZ53" s="128"/>
      <c r="DA53" s="128"/>
      <c r="DB53" s="128"/>
      <c r="DC53" s="128"/>
      <c r="DD53" s="128"/>
      <c r="DE53" s="128"/>
      <c r="DF53" s="128"/>
      <c r="DG53" s="128"/>
      <c r="DH53" s="128"/>
      <c r="DI53" s="128"/>
      <c r="DJ53" s="128"/>
      <c r="DK53" s="128"/>
      <c r="DL53" s="128"/>
      <c r="DM53" s="128"/>
      <c r="DN53" s="128"/>
      <c r="DO53" s="128"/>
      <c r="DP53" s="128"/>
      <c r="DQ53" s="128"/>
      <c r="DR53" s="128"/>
      <c r="DS53" s="128"/>
      <c r="DT53" s="128"/>
      <c r="DU53" s="128"/>
      <c r="DV53" s="128"/>
      <c r="DW53" s="128"/>
      <c r="DX53" s="128"/>
      <c r="DY53" s="128"/>
      <c r="DZ53" s="128"/>
      <c r="EA53" s="128"/>
      <c r="EB53" s="128"/>
      <c r="EC53" s="128"/>
      <c r="ED53" s="128"/>
      <c r="EE53" s="128"/>
      <c r="EF53" s="128"/>
      <c r="EG53" s="128"/>
      <c r="EH53" s="128"/>
      <c r="EI53" s="128"/>
      <c r="EJ53" s="128"/>
      <c r="EK53" s="128"/>
      <c r="EL53" s="128"/>
      <c r="EM53" s="128"/>
      <c r="EN53" s="128"/>
      <c r="EO53" s="128"/>
      <c r="EP53" s="128"/>
      <c r="EQ53" s="128"/>
      <c r="ER53" s="128"/>
      <c r="ES53" s="128"/>
      <c r="ET53" s="128"/>
      <c r="EU53" s="128"/>
      <c r="EV53" s="128"/>
      <c r="EW53" s="128"/>
      <c r="EX53" s="128"/>
      <c r="EY53" s="128"/>
      <c r="EZ53" s="128"/>
      <c r="FA53" s="128"/>
      <c r="FB53" s="128"/>
      <c r="FC53" s="128"/>
      <c r="FD53" s="128"/>
      <c r="FE53" s="128"/>
      <c r="FF53" s="128"/>
      <c r="FG53" s="128"/>
      <c r="FH53" s="128"/>
      <c r="FI53" s="128"/>
      <c r="FJ53" s="128"/>
      <c r="FK53" s="128"/>
      <c r="FL53" s="128"/>
      <c r="FM53" s="128"/>
      <c r="FN53" s="128"/>
      <c r="FO53" s="128"/>
      <c r="FP53" s="128"/>
      <c r="FQ53" s="128"/>
      <c r="FR53" s="128"/>
      <c r="FS53" s="128"/>
      <c r="FT53" s="128"/>
      <c r="FU53" s="128"/>
      <c r="FV53" s="128"/>
      <c r="FW53" s="128"/>
      <c r="FX53" s="128"/>
      <c r="FY53" s="128"/>
      <c r="FZ53" s="128"/>
      <c r="GA53" s="128"/>
      <c r="GB53" s="128"/>
      <c r="GC53" s="128"/>
      <c r="GD53" s="128"/>
      <c r="GE53" s="128"/>
      <c r="GF53" s="128"/>
      <c r="GG53" s="128"/>
      <c r="GH53" s="128"/>
      <c r="GI53" s="128"/>
      <c r="GJ53" s="128"/>
      <c r="GK53" s="128"/>
      <c r="GL53" s="128"/>
      <c r="GM53" s="128"/>
      <c r="GN53" s="128"/>
      <c r="GO53" s="128"/>
      <c r="GP53" s="128"/>
      <c r="GQ53" s="128"/>
      <c r="GR53" s="128"/>
      <c r="GS53" s="128"/>
      <c r="GT53" s="128"/>
      <c r="GU53" s="128"/>
      <c r="GV53" s="128"/>
      <c r="GW53" s="128"/>
      <c r="GX53" s="128"/>
      <c r="GY53" s="128"/>
      <c r="GZ53" s="128"/>
      <c r="HA53" s="128"/>
      <c r="HB53" s="128"/>
      <c r="HC53" s="128"/>
      <c r="HD53" s="128"/>
      <c r="HE53" s="128"/>
      <c r="HF53" s="128"/>
      <c r="HG53" s="128"/>
      <c r="HH53" s="128"/>
      <c r="HI53" s="128"/>
      <c r="HJ53" s="128"/>
      <c r="HK53" s="128"/>
      <c r="HL53" s="128"/>
      <c r="HM53" s="128"/>
      <c r="HN53" s="128"/>
      <c r="HO53" s="128"/>
      <c r="HP53" s="128"/>
      <c r="HQ53" s="128"/>
      <c r="HR53" s="128"/>
      <c r="HS53" s="128"/>
      <c r="HT53" s="128"/>
      <c r="HU53" s="128"/>
      <c r="HV53" s="128"/>
      <c r="HW53" s="128"/>
      <c r="HX53" s="128"/>
      <c r="HY53" s="128"/>
      <c r="HZ53" s="128"/>
      <c r="IA53" s="128"/>
      <c r="IB53" s="128"/>
      <c r="IC53" s="128"/>
      <c r="ID53" s="128"/>
      <c r="IE53" s="128"/>
      <c r="IF53" s="128"/>
      <c r="IG53" s="128"/>
      <c r="IH53" s="128"/>
      <c r="II53" s="128"/>
      <c r="IJ53" s="128"/>
      <c r="IK53" s="128"/>
      <c r="IL53" s="128"/>
      <c r="IM53" s="128"/>
      <c r="IN53" s="128"/>
      <c r="IO53" s="128"/>
      <c r="IP53" s="128"/>
      <c r="IQ53" s="128"/>
      <c r="IR53" s="128"/>
      <c r="IS53" s="128"/>
      <c r="IT53" s="128"/>
      <c r="IU53" s="128"/>
      <c r="IV53" s="128"/>
      <c r="IW53" s="128"/>
      <c r="IX53" s="128"/>
      <c r="IY53" s="128"/>
      <c r="IZ53" s="128"/>
    </row>
    <row r="54" spans="2:260" x14ac:dyDescent="0.3">
      <c r="B54" s="138" t="s">
        <v>148</v>
      </c>
      <c r="C54" s="260">
        <f>+'PROYECCIONES Y ESTIMACIONES'!R18</f>
        <v>267561.11111111112</v>
      </c>
      <c r="D54" s="166">
        <f>+C54*(1+C8)</f>
        <v>284072.30727777776</v>
      </c>
      <c r="E54" s="166">
        <f>+D54*(1+C9)</f>
        <v>300487.42555382411</v>
      </c>
      <c r="F54" s="166">
        <f>+E54*(1+C10)</f>
        <v>318043.55363551906</v>
      </c>
      <c r="G54" s="166">
        <f>+F54*(1+C11)</f>
        <v>336773.21802000317</v>
      </c>
      <c r="H54" s="166">
        <f>+G54*(1+C12)</f>
        <v>356484.47869673988</v>
      </c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  <c r="DM54" s="116"/>
      <c r="DN54" s="116"/>
      <c r="DO54" s="116"/>
      <c r="DP54" s="116"/>
      <c r="DQ54" s="116"/>
      <c r="DR54" s="116"/>
      <c r="DS54" s="116"/>
      <c r="DT54" s="116"/>
      <c r="DU54" s="116"/>
      <c r="DV54" s="116"/>
      <c r="DW54" s="116"/>
      <c r="DX54" s="116"/>
      <c r="DY54" s="116"/>
      <c r="DZ54" s="116"/>
      <c r="EA54" s="116"/>
      <c r="EB54" s="116"/>
      <c r="EC54" s="116"/>
      <c r="ED54" s="116"/>
      <c r="EE54" s="116"/>
      <c r="EF54" s="116"/>
      <c r="EG54" s="116"/>
      <c r="EH54" s="116"/>
      <c r="EI54" s="116"/>
      <c r="EJ54" s="116"/>
      <c r="EK54" s="116"/>
      <c r="EL54" s="116"/>
      <c r="EM54" s="116"/>
      <c r="EN54" s="116"/>
      <c r="EO54" s="116"/>
      <c r="EP54" s="116"/>
      <c r="EQ54" s="116"/>
      <c r="ER54" s="116"/>
      <c r="ES54" s="116"/>
      <c r="ET54" s="116"/>
      <c r="EU54" s="116"/>
      <c r="EV54" s="116"/>
      <c r="EW54" s="116"/>
      <c r="EX54" s="116"/>
      <c r="EY54" s="116"/>
      <c r="EZ54" s="116"/>
      <c r="FA54" s="116"/>
      <c r="FB54" s="116"/>
      <c r="FC54" s="116"/>
      <c r="FD54" s="116"/>
      <c r="FE54" s="116"/>
      <c r="FF54" s="116"/>
      <c r="FG54" s="116"/>
      <c r="FH54" s="116"/>
      <c r="FI54" s="116"/>
      <c r="FJ54" s="116"/>
      <c r="FK54" s="116"/>
      <c r="FL54" s="116"/>
      <c r="FM54" s="116"/>
      <c r="FN54" s="116"/>
      <c r="FO54" s="116"/>
      <c r="FP54" s="116"/>
      <c r="FQ54" s="116"/>
      <c r="FR54" s="116"/>
      <c r="FS54" s="116"/>
      <c r="FT54" s="116"/>
      <c r="FU54" s="116"/>
      <c r="FV54" s="116"/>
      <c r="FW54" s="116"/>
      <c r="FX54" s="116"/>
      <c r="FY54" s="116"/>
      <c r="FZ54" s="116"/>
      <c r="GA54" s="116"/>
      <c r="GB54" s="116"/>
      <c r="GC54" s="116"/>
      <c r="GD54" s="116"/>
      <c r="GE54" s="116"/>
      <c r="GF54" s="116"/>
      <c r="GG54" s="116"/>
      <c r="GH54" s="116"/>
      <c r="GI54" s="116"/>
      <c r="GJ54" s="116"/>
      <c r="GK54" s="116"/>
      <c r="GL54" s="116"/>
      <c r="GM54" s="116"/>
      <c r="GN54" s="116"/>
      <c r="GO54" s="116"/>
      <c r="GP54" s="116"/>
      <c r="GQ54" s="116"/>
      <c r="GR54" s="116"/>
      <c r="GS54" s="116"/>
      <c r="GT54" s="116"/>
      <c r="GU54" s="116"/>
      <c r="GV54" s="116"/>
      <c r="GW54" s="116"/>
      <c r="GX54" s="116"/>
      <c r="GY54" s="116"/>
      <c r="GZ54" s="116"/>
      <c r="HA54" s="116"/>
      <c r="HB54" s="116"/>
      <c r="HC54" s="116"/>
      <c r="HD54" s="116"/>
      <c r="HE54" s="116"/>
      <c r="HF54" s="116"/>
      <c r="HG54" s="116"/>
      <c r="HH54" s="116"/>
      <c r="HI54" s="116"/>
      <c r="HJ54" s="116"/>
      <c r="HK54" s="116"/>
      <c r="HL54" s="116"/>
      <c r="HM54" s="116"/>
      <c r="HN54" s="116"/>
      <c r="HO54" s="116"/>
      <c r="HP54" s="116"/>
      <c r="HQ54" s="116"/>
      <c r="HR54" s="116"/>
      <c r="HS54" s="116"/>
      <c r="HT54" s="116"/>
      <c r="HU54" s="116"/>
      <c r="HV54" s="116"/>
      <c r="HW54" s="116"/>
      <c r="HX54" s="116"/>
      <c r="HY54" s="116"/>
      <c r="HZ54" s="116"/>
      <c r="IA54" s="116"/>
      <c r="IB54" s="116"/>
      <c r="IC54" s="116"/>
      <c r="ID54" s="116"/>
      <c r="IE54" s="116"/>
      <c r="IF54" s="116"/>
      <c r="IG54" s="116"/>
      <c r="IH54" s="116"/>
      <c r="II54" s="116"/>
      <c r="IJ54" s="116"/>
      <c r="IK54" s="116"/>
      <c r="IL54" s="116"/>
      <c r="IM54" s="116"/>
      <c r="IN54" s="116"/>
      <c r="IO54" s="116"/>
      <c r="IP54" s="116"/>
      <c r="IQ54" s="116"/>
      <c r="IR54" s="116"/>
      <c r="IS54" s="116"/>
      <c r="IT54" s="116"/>
      <c r="IU54" s="116"/>
      <c r="IV54" s="116"/>
      <c r="IW54" s="116"/>
      <c r="IX54" s="116"/>
      <c r="IY54" s="116"/>
      <c r="IZ54" s="116"/>
    </row>
    <row r="55" spans="2:260" x14ac:dyDescent="0.3">
      <c r="B55" s="138" t="s">
        <v>149</v>
      </c>
      <c r="C55" s="167">
        <v>0</v>
      </c>
      <c r="D55" s="167">
        <f>+'CALCULO COSTOS E INVERSIONES'!I49</f>
        <v>116185402623.33333</v>
      </c>
      <c r="E55" s="167">
        <f>+'CALCULO COSTOS E INVERSIONES'!L49</f>
        <v>129044134919.61874</v>
      </c>
      <c r="F55" s="167">
        <f>+'CALCULO COSTOS E INVERSIONES'!O49</f>
        <v>143412783175.58322</v>
      </c>
      <c r="G55" s="167">
        <f>+'CALCULO COSTOS E INVERSIONES'!R49</f>
        <v>159451407720.44415</v>
      </c>
      <c r="H55" s="167">
        <f>+'CALCULO COSTOS E INVERSIONES'!U49</f>
        <v>177223380461.00143</v>
      </c>
      <c r="I55" s="168"/>
      <c r="J55" s="168"/>
      <c r="K55" s="168"/>
      <c r="L55" s="168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6"/>
      <c r="DN55" s="116"/>
      <c r="DO55" s="116"/>
      <c r="DP55" s="116"/>
      <c r="DQ55" s="116"/>
      <c r="DR55" s="116"/>
      <c r="DS55" s="116"/>
      <c r="DT55" s="116"/>
      <c r="DU55" s="116"/>
      <c r="DV55" s="116"/>
      <c r="DW55" s="116"/>
      <c r="DX55" s="116"/>
      <c r="DY55" s="116"/>
      <c r="DZ55" s="116"/>
      <c r="EA55" s="116"/>
      <c r="EB55" s="116"/>
      <c r="EC55" s="116"/>
      <c r="ED55" s="116"/>
      <c r="EE55" s="116"/>
      <c r="EF55" s="116"/>
      <c r="EG55" s="116"/>
      <c r="EH55" s="116"/>
      <c r="EI55" s="116"/>
      <c r="EJ55" s="116"/>
      <c r="EK55" s="116"/>
      <c r="EL55" s="116"/>
      <c r="EM55" s="116"/>
      <c r="EN55" s="116"/>
      <c r="EO55" s="116"/>
      <c r="EP55" s="116"/>
      <c r="EQ55" s="116"/>
      <c r="ER55" s="116"/>
      <c r="ES55" s="116"/>
      <c r="ET55" s="116"/>
      <c r="EU55" s="116"/>
      <c r="EV55" s="116"/>
      <c r="EW55" s="116"/>
      <c r="EX55" s="116"/>
      <c r="EY55" s="116"/>
      <c r="EZ55" s="116"/>
      <c r="FA55" s="116"/>
      <c r="FB55" s="116"/>
      <c r="FC55" s="116"/>
      <c r="FD55" s="116"/>
      <c r="FE55" s="116"/>
      <c r="FF55" s="116"/>
      <c r="FG55" s="116"/>
      <c r="FH55" s="116"/>
      <c r="FI55" s="116"/>
      <c r="FJ55" s="116"/>
      <c r="FK55" s="116"/>
      <c r="FL55" s="116"/>
      <c r="FM55" s="116"/>
      <c r="FN55" s="116"/>
      <c r="FO55" s="116"/>
      <c r="FP55" s="116"/>
      <c r="FQ55" s="116"/>
      <c r="FR55" s="1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  <c r="GG55" s="116"/>
      <c r="GH55" s="116"/>
      <c r="GI55" s="116"/>
      <c r="GJ55" s="116"/>
      <c r="GK55" s="116"/>
      <c r="GL55" s="116"/>
      <c r="GM55" s="116"/>
      <c r="GN55" s="116"/>
      <c r="GO55" s="116"/>
      <c r="GP55" s="116"/>
      <c r="GQ55" s="116"/>
      <c r="GR55" s="116"/>
      <c r="GS55" s="116"/>
      <c r="GT55" s="116"/>
      <c r="GU55" s="116"/>
      <c r="GV55" s="116"/>
      <c r="GW55" s="116"/>
      <c r="GX55" s="116"/>
      <c r="GY55" s="116"/>
      <c r="GZ55" s="116"/>
      <c r="HA55" s="116"/>
      <c r="HB55" s="116"/>
      <c r="HC55" s="116"/>
      <c r="HD55" s="116"/>
      <c r="HE55" s="116"/>
      <c r="HF55" s="116"/>
      <c r="HG55" s="116"/>
      <c r="HH55" s="116"/>
      <c r="HI55" s="116"/>
      <c r="HJ55" s="116"/>
      <c r="HK55" s="116"/>
      <c r="HL55" s="116"/>
      <c r="HM55" s="116"/>
      <c r="HN55" s="116"/>
      <c r="HO55" s="116"/>
      <c r="HP55" s="116"/>
      <c r="HQ55" s="116"/>
      <c r="HR55" s="116"/>
      <c r="HS55" s="116"/>
      <c r="HT55" s="116"/>
      <c r="HU55" s="116"/>
      <c r="HV55" s="116"/>
      <c r="HW55" s="116"/>
      <c r="HX55" s="116"/>
      <c r="HY55" s="116"/>
      <c r="HZ55" s="116"/>
      <c r="IA55" s="116"/>
      <c r="IB55" s="116"/>
      <c r="IC55" s="116"/>
      <c r="ID55" s="116"/>
      <c r="IE55" s="116"/>
      <c r="IF55" s="116"/>
      <c r="IG55" s="116"/>
      <c r="IH55" s="116"/>
      <c r="II55" s="116"/>
      <c r="IJ55" s="116"/>
      <c r="IK55" s="116"/>
      <c r="IL55" s="116"/>
      <c r="IM55" s="116"/>
      <c r="IN55" s="116"/>
      <c r="IO55" s="116"/>
      <c r="IP55" s="116"/>
      <c r="IQ55" s="116"/>
      <c r="IR55" s="116"/>
      <c r="IS55" s="116"/>
      <c r="IT55" s="116"/>
      <c r="IU55" s="116"/>
      <c r="IV55" s="116"/>
      <c r="IW55" s="116"/>
      <c r="IX55" s="116"/>
      <c r="IY55" s="116"/>
      <c r="IZ55" s="116"/>
    </row>
    <row r="56" spans="2:260" x14ac:dyDescent="0.3">
      <c r="B56" s="138" t="s">
        <v>150</v>
      </c>
      <c r="C56" s="260">
        <v>0</v>
      </c>
      <c r="D56" s="167">
        <f>+'CALCULO COSTOS E INVERSIONES'!I66</f>
        <v>6091896286.9063864</v>
      </c>
      <c r="E56" s="167">
        <f>+'CALCULO COSTOS E INVERSIONES'!L66</f>
        <v>6466377732.0922728</v>
      </c>
      <c r="F56" s="167">
        <f>+'CALCULO COSTOS E INVERSIONES'!O66</f>
        <v>6844179084.2786293</v>
      </c>
      <c r="G56" s="167">
        <f>+'CALCULO COSTOS E INVERSIONES'!R66</f>
        <v>7247234501.5965681</v>
      </c>
      <c r="H56" s="167">
        <f>+'CALCULO COSTOS E INVERSIONES'!U66</f>
        <v>7671413506.3472528</v>
      </c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  <c r="DM56" s="116"/>
      <c r="DN56" s="116"/>
      <c r="DO56" s="116"/>
      <c r="DP56" s="116"/>
      <c r="DQ56" s="116"/>
      <c r="DR56" s="116"/>
      <c r="DS56" s="116"/>
      <c r="DT56" s="116"/>
      <c r="DU56" s="116"/>
      <c r="DV56" s="116"/>
      <c r="DW56" s="116"/>
      <c r="DX56" s="116"/>
      <c r="DY56" s="116"/>
      <c r="DZ56" s="116"/>
      <c r="EA56" s="116"/>
      <c r="EB56" s="116"/>
      <c r="EC56" s="116"/>
      <c r="ED56" s="116"/>
      <c r="EE56" s="116"/>
      <c r="EF56" s="116"/>
      <c r="EG56" s="116"/>
      <c r="EH56" s="116"/>
      <c r="EI56" s="116"/>
      <c r="EJ56" s="116"/>
      <c r="EK56" s="116"/>
      <c r="EL56" s="116"/>
      <c r="EM56" s="116"/>
      <c r="EN56" s="116"/>
      <c r="EO56" s="116"/>
      <c r="EP56" s="116"/>
      <c r="EQ56" s="116"/>
      <c r="ER56" s="116"/>
      <c r="ES56" s="116"/>
      <c r="ET56" s="116"/>
      <c r="EU56" s="116"/>
      <c r="EV56" s="116"/>
      <c r="EW56" s="116"/>
      <c r="EX56" s="116"/>
      <c r="EY56" s="116"/>
      <c r="EZ56" s="116"/>
      <c r="FA56" s="116"/>
      <c r="FB56" s="116"/>
      <c r="FC56" s="116"/>
      <c r="FD56" s="116"/>
      <c r="FE56" s="116"/>
      <c r="FF56" s="116"/>
      <c r="FG56" s="116"/>
      <c r="FH56" s="116"/>
      <c r="FI56" s="116"/>
      <c r="FJ56" s="116"/>
      <c r="FK56" s="116"/>
      <c r="FL56" s="116"/>
      <c r="FM56" s="116"/>
      <c r="FN56" s="116"/>
      <c r="FO56" s="116"/>
      <c r="FP56" s="116"/>
      <c r="FQ56" s="116"/>
      <c r="FR56" s="1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  <c r="GG56" s="116"/>
      <c r="GH56" s="116"/>
      <c r="GI56" s="116"/>
      <c r="GJ56" s="116"/>
      <c r="GK56" s="116"/>
      <c r="GL56" s="116"/>
      <c r="GM56" s="116"/>
      <c r="GN56" s="116"/>
      <c r="GO56" s="116"/>
      <c r="GP56" s="116"/>
      <c r="GQ56" s="116"/>
      <c r="GR56" s="116"/>
      <c r="GS56" s="116"/>
      <c r="GT56" s="116"/>
      <c r="GU56" s="116"/>
      <c r="GV56" s="116"/>
      <c r="GW56" s="116"/>
      <c r="GX56" s="116"/>
      <c r="GY56" s="116"/>
      <c r="GZ56" s="116"/>
      <c r="HA56" s="116"/>
      <c r="HB56" s="116"/>
      <c r="HC56" s="116"/>
      <c r="HD56" s="116"/>
      <c r="HE56" s="116"/>
      <c r="HF56" s="116"/>
      <c r="HG56" s="116"/>
      <c r="HH56" s="116"/>
      <c r="HI56" s="116"/>
      <c r="HJ56" s="116"/>
      <c r="HK56" s="116"/>
      <c r="HL56" s="116"/>
      <c r="HM56" s="116"/>
      <c r="HN56" s="116"/>
      <c r="HO56" s="116"/>
      <c r="HP56" s="116"/>
      <c r="HQ56" s="116"/>
      <c r="HR56" s="116"/>
      <c r="HS56" s="116"/>
      <c r="HT56" s="116"/>
      <c r="HU56" s="116"/>
      <c r="HV56" s="116"/>
      <c r="HW56" s="116"/>
      <c r="HX56" s="116"/>
      <c r="HY56" s="116"/>
      <c r="HZ56" s="116"/>
      <c r="IA56" s="116"/>
      <c r="IB56" s="116"/>
      <c r="IC56" s="116"/>
      <c r="ID56" s="116"/>
      <c r="IE56" s="116"/>
      <c r="IF56" s="116"/>
      <c r="IG56" s="116"/>
      <c r="IH56" s="116"/>
      <c r="II56" s="116"/>
      <c r="IJ56" s="116"/>
      <c r="IK56" s="116"/>
      <c r="IL56" s="116"/>
      <c r="IM56" s="116"/>
      <c r="IN56" s="116"/>
      <c r="IO56" s="116"/>
      <c r="IP56" s="116"/>
      <c r="IQ56" s="116"/>
      <c r="IR56" s="116"/>
      <c r="IS56" s="116"/>
      <c r="IT56" s="116"/>
      <c r="IU56" s="116"/>
      <c r="IV56" s="116"/>
      <c r="IW56" s="116"/>
      <c r="IX56" s="116"/>
      <c r="IY56" s="116"/>
      <c r="IZ56" s="116"/>
    </row>
    <row r="57" spans="2:260" x14ac:dyDescent="0.3">
      <c r="B57" s="138" t="s">
        <v>151</v>
      </c>
      <c r="C57" s="260">
        <v>0</v>
      </c>
      <c r="D57" s="167">
        <f>+'GASTOS ADMINISTRATIVOS'!H13</f>
        <v>351290697.1056</v>
      </c>
      <c r="E57" s="167">
        <f>+'GASTOS ADMINISTRATIVOS'!J13</f>
        <v>665085762.44835985</v>
      </c>
      <c r="F57" s="167">
        <f>+'GASTOS ADMINISTRATIVOS'!L13</f>
        <v>737606713.98572898</v>
      </c>
      <c r="G57" s="167">
        <f>+'GASTOS ADMINISTRATIVOS'!N13</f>
        <v>819377794.29818702</v>
      </c>
      <c r="H57" s="167">
        <f>+'GASTOS ADMINISTRATIVOS'!P13</f>
        <v>909724028.65309358</v>
      </c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  <c r="DM57" s="116"/>
      <c r="DN57" s="116"/>
      <c r="DO57" s="116"/>
      <c r="DP57" s="116"/>
      <c r="DQ57" s="116"/>
      <c r="DR57" s="116"/>
      <c r="DS57" s="116"/>
      <c r="DT57" s="116"/>
      <c r="DU57" s="116"/>
      <c r="DV57" s="116"/>
      <c r="DW57" s="116"/>
      <c r="DX57" s="116"/>
      <c r="DY57" s="116"/>
      <c r="DZ57" s="116"/>
      <c r="EA57" s="116"/>
      <c r="EB57" s="116"/>
      <c r="EC57" s="116"/>
      <c r="ED57" s="116"/>
      <c r="EE57" s="116"/>
      <c r="EF57" s="116"/>
      <c r="EG57" s="116"/>
      <c r="EH57" s="116"/>
      <c r="EI57" s="116"/>
      <c r="EJ57" s="116"/>
      <c r="EK57" s="116"/>
      <c r="EL57" s="116"/>
      <c r="EM57" s="116"/>
      <c r="EN57" s="116"/>
      <c r="EO57" s="116"/>
      <c r="EP57" s="116"/>
      <c r="EQ57" s="116"/>
      <c r="ER57" s="116"/>
      <c r="ES57" s="116"/>
      <c r="ET57" s="116"/>
      <c r="EU57" s="116"/>
      <c r="EV57" s="116"/>
      <c r="EW57" s="116"/>
      <c r="EX57" s="116"/>
      <c r="EY57" s="116"/>
      <c r="EZ57" s="116"/>
      <c r="FA57" s="116"/>
      <c r="FB57" s="116"/>
      <c r="FC57" s="116"/>
      <c r="FD57" s="116"/>
      <c r="FE57" s="116"/>
      <c r="FF57" s="116"/>
      <c r="FG57" s="116"/>
      <c r="FH57" s="116"/>
      <c r="FI57" s="116"/>
      <c r="FJ57" s="116"/>
      <c r="FK57" s="116"/>
      <c r="FL57" s="116"/>
      <c r="FM57" s="116"/>
      <c r="FN57" s="116"/>
      <c r="FO57" s="116"/>
      <c r="FP57" s="116"/>
      <c r="FQ57" s="116"/>
      <c r="FR57" s="116"/>
      <c r="FS57" s="116"/>
      <c r="FT57" s="116"/>
      <c r="FU57" s="116"/>
      <c r="FV57" s="116"/>
      <c r="FW57" s="116"/>
      <c r="FX57" s="116"/>
      <c r="FY57" s="116"/>
      <c r="FZ57" s="116"/>
      <c r="GA57" s="116"/>
      <c r="GB57" s="116"/>
      <c r="GC57" s="116"/>
      <c r="GD57" s="116"/>
      <c r="GE57" s="116"/>
      <c r="GF57" s="116"/>
      <c r="GG57" s="116"/>
      <c r="GH57" s="116"/>
      <c r="GI57" s="116"/>
      <c r="GJ57" s="116"/>
      <c r="GK57" s="116"/>
      <c r="GL57" s="116"/>
      <c r="GM57" s="116"/>
      <c r="GN57" s="116"/>
      <c r="GO57" s="116"/>
      <c r="GP57" s="116"/>
      <c r="GQ57" s="116"/>
      <c r="GR57" s="116"/>
      <c r="GS57" s="116"/>
      <c r="GT57" s="116"/>
      <c r="GU57" s="116"/>
      <c r="GV57" s="116"/>
      <c r="GW57" s="116"/>
      <c r="GX57" s="116"/>
      <c r="GY57" s="116"/>
      <c r="GZ57" s="116"/>
      <c r="HA57" s="116"/>
      <c r="HB57" s="116"/>
      <c r="HC57" s="116"/>
      <c r="HD57" s="116"/>
      <c r="HE57" s="116"/>
      <c r="HF57" s="116"/>
      <c r="HG57" s="116"/>
      <c r="HH57" s="116"/>
      <c r="HI57" s="116"/>
      <c r="HJ57" s="116"/>
      <c r="HK57" s="116"/>
      <c r="HL57" s="116"/>
      <c r="HM57" s="116"/>
      <c r="HN57" s="116"/>
      <c r="HO57" s="116"/>
      <c r="HP57" s="116"/>
      <c r="HQ57" s="116"/>
      <c r="HR57" s="116"/>
      <c r="HS57" s="116"/>
      <c r="HT57" s="116"/>
      <c r="HU57" s="116"/>
      <c r="HV57" s="116"/>
      <c r="HW57" s="116"/>
      <c r="HX57" s="116"/>
      <c r="HY57" s="116"/>
      <c r="HZ57" s="116"/>
      <c r="IA57" s="116"/>
      <c r="IB57" s="116"/>
      <c r="IC57" s="116"/>
      <c r="ID57" s="116"/>
      <c r="IE57" s="116"/>
      <c r="IF57" s="116"/>
      <c r="IG57" s="116"/>
      <c r="IH57" s="116"/>
      <c r="II57" s="116"/>
      <c r="IJ57" s="116"/>
      <c r="IK57" s="116"/>
      <c r="IL57" s="116"/>
      <c r="IM57" s="116"/>
      <c r="IN57" s="116"/>
      <c r="IO57" s="116"/>
      <c r="IP57" s="116"/>
      <c r="IQ57" s="116"/>
      <c r="IR57" s="116"/>
      <c r="IS57" s="116"/>
      <c r="IT57" s="116"/>
      <c r="IU57" s="116"/>
      <c r="IV57" s="116"/>
      <c r="IW57" s="116"/>
      <c r="IX57" s="116"/>
      <c r="IY57" s="116"/>
      <c r="IZ57" s="116"/>
    </row>
    <row r="58" spans="2:260" x14ac:dyDescent="0.3">
      <c r="B58" s="150" t="s">
        <v>152</v>
      </c>
      <c r="C58" s="261">
        <f>+G64</f>
        <v>5625000</v>
      </c>
      <c r="D58" s="135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  <c r="DM58" s="116"/>
      <c r="DN58" s="116"/>
      <c r="DO58" s="116"/>
      <c r="DP58" s="116"/>
      <c r="DQ58" s="116"/>
      <c r="DR58" s="116"/>
      <c r="DS58" s="116"/>
      <c r="DT58" s="116"/>
      <c r="DU58" s="116"/>
      <c r="DV58" s="116"/>
      <c r="DW58" s="116"/>
      <c r="DX58" s="116"/>
      <c r="DY58" s="116"/>
      <c r="DZ58" s="116"/>
      <c r="EA58" s="116"/>
      <c r="EB58" s="116"/>
      <c r="EC58" s="116"/>
      <c r="ED58" s="116"/>
      <c r="EE58" s="116"/>
      <c r="EF58" s="116"/>
      <c r="EG58" s="116"/>
      <c r="EH58" s="116"/>
      <c r="EI58" s="116"/>
      <c r="EJ58" s="116"/>
      <c r="EK58" s="116"/>
      <c r="EL58" s="116"/>
      <c r="EM58" s="116"/>
      <c r="EN58" s="116"/>
      <c r="EO58" s="116"/>
      <c r="EP58" s="116"/>
      <c r="EQ58" s="116"/>
      <c r="ER58" s="116"/>
      <c r="ES58" s="116"/>
      <c r="ET58" s="116"/>
      <c r="EU58" s="116"/>
      <c r="EV58" s="116"/>
      <c r="EW58" s="116"/>
      <c r="EX58" s="116"/>
      <c r="EY58" s="116"/>
      <c r="EZ58" s="116"/>
      <c r="FA58" s="116"/>
      <c r="FB58" s="116"/>
      <c r="FC58" s="116"/>
      <c r="FD58" s="116"/>
      <c r="FE58" s="116"/>
      <c r="FF58" s="116"/>
      <c r="FG58" s="116"/>
      <c r="FH58" s="116"/>
      <c r="FI58" s="116"/>
      <c r="FJ58" s="116"/>
      <c r="FK58" s="116"/>
      <c r="FL58" s="116"/>
      <c r="FM58" s="116"/>
      <c r="FN58" s="116"/>
      <c r="FO58" s="116"/>
      <c r="FP58" s="116"/>
      <c r="FQ58" s="116"/>
      <c r="FR58" s="116"/>
      <c r="FS58" s="116"/>
      <c r="FT58" s="116"/>
      <c r="FU58" s="116"/>
      <c r="FV58" s="116"/>
      <c r="FW58" s="116"/>
      <c r="FX58" s="116"/>
      <c r="FY58" s="116"/>
      <c r="FZ58" s="116"/>
      <c r="GA58" s="116"/>
      <c r="GB58" s="116"/>
      <c r="GC58" s="116"/>
      <c r="GD58" s="116"/>
      <c r="GE58" s="116"/>
      <c r="GF58" s="116"/>
      <c r="GG58" s="116"/>
      <c r="GH58" s="116"/>
      <c r="GI58" s="116"/>
      <c r="GJ58" s="116"/>
      <c r="GK58" s="116"/>
      <c r="GL58" s="116"/>
      <c r="GM58" s="116"/>
      <c r="GN58" s="116"/>
      <c r="GO58" s="116"/>
      <c r="GP58" s="116"/>
      <c r="GQ58" s="116"/>
      <c r="GR58" s="116"/>
      <c r="GS58" s="116"/>
      <c r="GT58" s="116"/>
      <c r="GU58" s="116"/>
      <c r="GV58" s="116"/>
      <c r="GW58" s="116"/>
      <c r="GX58" s="116"/>
      <c r="GY58" s="116"/>
      <c r="GZ58" s="116"/>
      <c r="HA58" s="116"/>
      <c r="HB58" s="116"/>
      <c r="HC58" s="116"/>
      <c r="HD58" s="116"/>
      <c r="HE58" s="116"/>
      <c r="HF58" s="116"/>
      <c r="HG58" s="116"/>
      <c r="HH58" s="116"/>
      <c r="HI58" s="116"/>
      <c r="HJ58" s="116"/>
      <c r="HK58" s="116"/>
      <c r="HL58" s="116"/>
      <c r="HM58" s="116"/>
      <c r="HN58" s="116"/>
      <c r="HO58" s="116"/>
      <c r="HP58" s="116"/>
      <c r="HQ58" s="116"/>
      <c r="HR58" s="116"/>
      <c r="HS58" s="116"/>
      <c r="HT58" s="116"/>
      <c r="HU58" s="116"/>
      <c r="HV58" s="116"/>
      <c r="HW58" s="116"/>
      <c r="HX58" s="116"/>
      <c r="HY58" s="116"/>
      <c r="HZ58" s="116"/>
      <c r="IA58" s="116"/>
      <c r="IB58" s="116"/>
      <c r="IC58" s="116"/>
      <c r="ID58" s="116"/>
      <c r="IE58" s="116"/>
      <c r="IF58" s="116"/>
      <c r="IG58" s="116"/>
      <c r="IH58" s="116"/>
      <c r="II58" s="116"/>
      <c r="IJ58" s="116"/>
      <c r="IK58" s="116"/>
      <c r="IL58" s="116"/>
      <c r="IM58" s="116"/>
      <c r="IN58" s="116"/>
      <c r="IO58" s="116"/>
      <c r="IP58" s="116"/>
      <c r="IQ58" s="116"/>
      <c r="IR58" s="116"/>
      <c r="IS58" s="116"/>
      <c r="IT58" s="116"/>
      <c r="IU58" s="116"/>
      <c r="IV58" s="116"/>
      <c r="IW58" s="116"/>
      <c r="IX58" s="116"/>
      <c r="IY58" s="116"/>
      <c r="IZ58" s="116"/>
    </row>
    <row r="59" spans="2:260" x14ac:dyDescent="0.3">
      <c r="B59" s="185"/>
      <c r="C59" s="136"/>
      <c r="D59" s="13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  <c r="DM59" s="116"/>
      <c r="DN59" s="116"/>
      <c r="DO59" s="116"/>
      <c r="DP59" s="116"/>
      <c r="DQ59" s="116"/>
      <c r="DR59" s="116"/>
      <c r="DS59" s="116"/>
      <c r="DT59" s="116"/>
      <c r="DU59" s="116"/>
      <c r="DV59" s="116"/>
      <c r="DW59" s="116"/>
      <c r="DX59" s="116"/>
      <c r="DY59" s="116"/>
      <c r="DZ59" s="116"/>
      <c r="EA59" s="116"/>
      <c r="EB59" s="116"/>
      <c r="EC59" s="116"/>
      <c r="ED59" s="116"/>
      <c r="EE59" s="116"/>
      <c r="EF59" s="116"/>
      <c r="EG59" s="116"/>
      <c r="EH59" s="116"/>
      <c r="EI59" s="116"/>
      <c r="EJ59" s="116"/>
      <c r="EK59" s="116"/>
      <c r="EL59" s="116"/>
      <c r="EM59" s="116"/>
      <c r="EN59" s="116"/>
      <c r="EO59" s="116"/>
      <c r="EP59" s="116"/>
      <c r="EQ59" s="116"/>
      <c r="ER59" s="116"/>
      <c r="ES59" s="116"/>
      <c r="ET59" s="116"/>
      <c r="EU59" s="116"/>
      <c r="EV59" s="116"/>
      <c r="EW59" s="116"/>
      <c r="EX59" s="116"/>
      <c r="EY59" s="116"/>
      <c r="EZ59" s="116"/>
      <c r="FA59" s="116"/>
      <c r="FB59" s="116"/>
      <c r="FC59" s="116"/>
      <c r="FD59" s="116"/>
      <c r="FE59" s="116"/>
      <c r="FF59" s="116"/>
      <c r="FG59" s="116"/>
      <c r="FH59" s="116"/>
      <c r="FI59" s="116"/>
      <c r="FJ59" s="116"/>
      <c r="FK59" s="116"/>
      <c r="FL59" s="116"/>
      <c r="FM59" s="116"/>
      <c r="FN59" s="116"/>
      <c r="FO59" s="116"/>
      <c r="FP59" s="116"/>
      <c r="FQ59" s="116"/>
      <c r="FR59" s="116"/>
      <c r="FS59" s="116"/>
      <c r="FT59" s="116"/>
      <c r="FU59" s="116"/>
      <c r="FV59" s="116"/>
      <c r="FW59" s="116"/>
      <c r="FX59" s="116"/>
      <c r="FY59" s="116"/>
      <c r="FZ59" s="116"/>
      <c r="GA59" s="116"/>
      <c r="GB59" s="116"/>
      <c r="GC59" s="116"/>
      <c r="GD59" s="116"/>
      <c r="GE59" s="116"/>
      <c r="GF59" s="116"/>
      <c r="GG59" s="116"/>
      <c r="GH59" s="116"/>
      <c r="GI59" s="116"/>
      <c r="GJ59" s="116"/>
      <c r="GK59" s="116"/>
      <c r="GL59" s="116"/>
      <c r="GM59" s="116"/>
      <c r="GN59" s="116"/>
      <c r="GO59" s="116"/>
      <c r="GP59" s="116"/>
      <c r="GQ59" s="116"/>
      <c r="GR59" s="116"/>
      <c r="GS59" s="116"/>
      <c r="GT59" s="116"/>
      <c r="GU59" s="116"/>
      <c r="GV59" s="116"/>
      <c r="GW59" s="116"/>
      <c r="GX59" s="116"/>
      <c r="GY59" s="116"/>
      <c r="GZ59" s="116"/>
      <c r="HA59" s="116"/>
      <c r="HB59" s="116"/>
      <c r="HC59" s="116"/>
      <c r="HD59" s="116"/>
      <c r="HE59" s="116"/>
      <c r="HF59" s="116"/>
      <c r="HG59" s="116"/>
      <c r="HH59" s="116"/>
      <c r="HI59" s="116"/>
      <c r="HJ59" s="116"/>
      <c r="HK59" s="116"/>
      <c r="HL59" s="116"/>
      <c r="HM59" s="116"/>
      <c r="HN59" s="116"/>
      <c r="HO59" s="116"/>
      <c r="HP59" s="116"/>
      <c r="HQ59" s="116"/>
      <c r="HR59" s="116"/>
      <c r="HS59" s="116"/>
      <c r="HT59" s="116"/>
      <c r="HU59" s="116"/>
      <c r="HV59" s="116"/>
      <c r="HW59" s="116"/>
      <c r="HX59" s="116"/>
      <c r="HY59" s="116"/>
      <c r="HZ59" s="116"/>
      <c r="IA59" s="116"/>
      <c r="IB59" s="116"/>
      <c r="IC59" s="116"/>
      <c r="ID59" s="116"/>
      <c r="IE59" s="116"/>
      <c r="IF59" s="116"/>
      <c r="IG59" s="116"/>
      <c r="IH59" s="116"/>
      <c r="II59" s="116"/>
      <c r="IJ59" s="116"/>
      <c r="IK59" s="116"/>
      <c r="IL59" s="116"/>
      <c r="IM59" s="116"/>
      <c r="IN59" s="116"/>
      <c r="IO59" s="116"/>
      <c r="IP59" s="116"/>
      <c r="IQ59" s="116"/>
      <c r="IR59" s="116"/>
      <c r="IS59" s="116"/>
      <c r="IT59" s="116"/>
      <c r="IU59" s="116"/>
      <c r="IV59" s="116"/>
      <c r="IW59" s="116"/>
      <c r="IX59" s="116"/>
      <c r="IY59" s="116"/>
      <c r="IZ59" s="116"/>
    </row>
    <row r="60" spans="2:260" x14ac:dyDescent="0.3">
      <c r="B60" s="374" t="s">
        <v>255</v>
      </c>
      <c r="C60" s="374"/>
      <c r="D60" s="374"/>
      <c r="E60" s="374"/>
      <c r="F60" s="374"/>
      <c r="G60" s="374"/>
      <c r="H60" s="374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  <c r="DM60" s="116"/>
      <c r="DN60" s="116"/>
      <c r="DO60" s="116"/>
      <c r="DP60" s="116"/>
      <c r="DQ60" s="116"/>
      <c r="DR60" s="116"/>
      <c r="DS60" s="116"/>
      <c r="DT60" s="116"/>
      <c r="DU60" s="116"/>
      <c r="DV60" s="116"/>
      <c r="DW60" s="116"/>
      <c r="DX60" s="116"/>
      <c r="DY60" s="116"/>
      <c r="DZ60" s="116"/>
      <c r="EA60" s="116"/>
      <c r="EB60" s="116"/>
      <c r="EC60" s="116"/>
      <c r="ED60" s="116"/>
      <c r="EE60" s="116"/>
      <c r="EF60" s="116"/>
      <c r="EG60" s="116"/>
      <c r="EH60" s="116"/>
      <c r="EI60" s="116"/>
      <c r="EJ60" s="116"/>
      <c r="EK60" s="116"/>
      <c r="EL60" s="116"/>
      <c r="EM60" s="116"/>
      <c r="EN60" s="116"/>
      <c r="EO60" s="116"/>
      <c r="EP60" s="116"/>
      <c r="EQ60" s="116"/>
      <c r="ER60" s="116"/>
      <c r="ES60" s="116"/>
      <c r="ET60" s="116"/>
      <c r="EU60" s="116"/>
      <c r="EV60" s="116"/>
      <c r="EW60" s="116"/>
      <c r="EX60" s="116"/>
      <c r="EY60" s="116"/>
      <c r="EZ60" s="116"/>
      <c r="FA60" s="116"/>
      <c r="FB60" s="116"/>
      <c r="FC60" s="116"/>
      <c r="FD60" s="116"/>
      <c r="FE60" s="116"/>
      <c r="FF60" s="116"/>
      <c r="FG60" s="116"/>
      <c r="FH60" s="116"/>
      <c r="FI60" s="116"/>
      <c r="FJ60" s="116"/>
      <c r="FK60" s="116"/>
      <c r="FL60" s="116"/>
      <c r="FM60" s="116"/>
      <c r="FN60" s="116"/>
      <c r="FO60" s="116"/>
      <c r="FP60" s="116"/>
      <c r="FQ60" s="116"/>
      <c r="FR60" s="116"/>
      <c r="FS60" s="116"/>
      <c r="FT60" s="116"/>
      <c r="FU60" s="116"/>
      <c r="FV60" s="116"/>
      <c r="FW60" s="116"/>
      <c r="FX60" s="116"/>
      <c r="FY60" s="116"/>
      <c r="FZ60" s="116"/>
      <c r="GA60" s="116"/>
      <c r="GB60" s="116"/>
      <c r="GC60" s="116"/>
      <c r="GD60" s="116"/>
      <c r="GE60" s="116"/>
      <c r="GF60" s="116"/>
      <c r="GG60" s="116"/>
      <c r="GH60" s="116"/>
      <c r="GI60" s="116"/>
      <c r="GJ60" s="116"/>
      <c r="GK60" s="116"/>
      <c r="GL60" s="116"/>
      <c r="GM60" s="116"/>
      <c r="GN60" s="116"/>
      <c r="GO60" s="116"/>
      <c r="GP60" s="116"/>
      <c r="GQ60" s="116"/>
      <c r="GR60" s="116"/>
      <c r="GS60" s="116"/>
      <c r="GT60" s="116"/>
      <c r="GU60" s="116"/>
      <c r="GV60" s="116"/>
      <c r="GW60" s="116"/>
      <c r="GX60" s="116"/>
      <c r="GY60" s="116"/>
      <c r="GZ60" s="116"/>
      <c r="HA60" s="116"/>
      <c r="HB60" s="116"/>
      <c r="HC60" s="116"/>
      <c r="HD60" s="116"/>
      <c r="HE60" s="116"/>
      <c r="HF60" s="116"/>
      <c r="HG60" s="116"/>
      <c r="HH60" s="116"/>
      <c r="HI60" s="116"/>
      <c r="HJ60" s="116"/>
      <c r="HK60" s="116"/>
      <c r="HL60" s="116"/>
      <c r="HM60" s="116"/>
      <c r="HN60" s="116"/>
      <c r="HO60" s="116"/>
      <c r="HP60" s="116"/>
      <c r="HQ60" s="116"/>
      <c r="HR60" s="116"/>
      <c r="HS60" s="116"/>
      <c r="HT60" s="116"/>
      <c r="HU60" s="116"/>
      <c r="HV60" s="116"/>
      <c r="HW60" s="116"/>
      <c r="HX60" s="116"/>
      <c r="HY60" s="116"/>
      <c r="HZ60" s="116"/>
      <c r="IA60" s="116"/>
      <c r="IB60" s="116"/>
      <c r="IC60" s="116"/>
      <c r="ID60" s="116"/>
      <c r="IE60" s="116"/>
      <c r="IF60" s="116"/>
      <c r="IG60" s="116"/>
      <c r="IH60" s="116"/>
      <c r="II60" s="116"/>
      <c r="IJ60" s="116"/>
      <c r="IK60" s="116"/>
      <c r="IL60" s="116"/>
      <c r="IM60" s="116"/>
      <c r="IN60" s="116"/>
      <c r="IO60" s="116"/>
      <c r="IP60" s="116"/>
      <c r="IQ60" s="116"/>
      <c r="IR60" s="116"/>
      <c r="IS60" s="116"/>
      <c r="IT60" s="116"/>
      <c r="IU60" s="116"/>
      <c r="IV60" s="116"/>
      <c r="IW60" s="116"/>
      <c r="IX60" s="116"/>
      <c r="IY60" s="116"/>
      <c r="IZ60" s="116"/>
    </row>
    <row r="61" spans="2:260" s="216" customFormat="1" x14ac:dyDescent="0.3">
      <c r="B61" s="188"/>
      <c r="C61" s="34" t="s">
        <v>249</v>
      </c>
      <c r="D61" s="34" t="s">
        <v>250</v>
      </c>
      <c r="E61" s="34" t="s">
        <v>251</v>
      </c>
      <c r="F61" s="34" t="s">
        <v>252</v>
      </c>
      <c r="G61" s="34" t="s">
        <v>253</v>
      </c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U61" s="135"/>
      <c r="CV61" s="135"/>
      <c r="CW61" s="135"/>
      <c r="CX61" s="135"/>
      <c r="CY61" s="135"/>
      <c r="CZ61" s="135"/>
      <c r="DA61" s="135"/>
      <c r="DB61" s="135"/>
      <c r="DC61" s="135"/>
      <c r="DD61" s="135"/>
      <c r="DE61" s="135"/>
      <c r="DF61" s="135"/>
      <c r="DG61" s="135"/>
      <c r="DH61" s="135"/>
      <c r="DI61" s="135"/>
      <c r="DJ61" s="135"/>
      <c r="DK61" s="135"/>
      <c r="DL61" s="135"/>
      <c r="DM61" s="135"/>
      <c r="DN61" s="135"/>
      <c r="DO61" s="135"/>
      <c r="DP61" s="135"/>
      <c r="DQ61" s="135"/>
      <c r="DR61" s="135"/>
      <c r="DS61" s="135"/>
      <c r="DT61" s="135"/>
      <c r="DU61" s="135"/>
      <c r="DV61" s="135"/>
      <c r="DW61" s="135"/>
      <c r="DX61" s="135"/>
      <c r="DY61" s="135"/>
      <c r="DZ61" s="135"/>
      <c r="EA61" s="135"/>
      <c r="EB61" s="135"/>
      <c r="EC61" s="135"/>
      <c r="ED61" s="135"/>
      <c r="EE61" s="135"/>
      <c r="EF61" s="135"/>
      <c r="EG61" s="135"/>
      <c r="EH61" s="135"/>
      <c r="EI61" s="135"/>
      <c r="EJ61" s="135"/>
      <c r="EK61" s="135"/>
      <c r="EL61" s="135"/>
      <c r="EM61" s="135"/>
      <c r="EN61" s="135"/>
      <c r="EO61" s="135"/>
      <c r="EP61" s="135"/>
      <c r="EQ61" s="135"/>
      <c r="ER61" s="135"/>
      <c r="ES61" s="135"/>
      <c r="ET61" s="135"/>
      <c r="EU61" s="135"/>
      <c r="EV61" s="135"/>
      <c r="EW61" s="135"/>
      <c r="EX61" s="135"/>
      <c r="EY61" s="135"/>
      <c r="EZ61" s="135"/>
      <c r="FA61" s="135"/>
      <c r="FB61" s="135"/>
      <c r="FC61" s="135"/>
      <c r="FD61" s="135"/>
      <c r="FE61" s="135"/>
      <c r="FF61" s="135"/>
      <c r="FG61" s="135"/>
      <c r="FH61" s="135"/>
      <c r="FI61" s="135"/>
      <c r="FJ61" s="135"/>
      <c r="FK61" s="135"/>
      <c r="FL61" s="135"/>
      <c r="FM61" s="135"/>
      <c r="FN61" s="135"/>
      <c r="FO61" s="135"/>
      <c r="FP61" s="135"/>
      <c r="FQ61" s="135"/>
      <c r="FR61" s="135"/>
      <c r="FS61" s="135"/>
      <c r="FT61" s="135"/>
      <c r="FU61" s="135"/>
      <c r="FV61" s="135"/>
      <c r="FW61" s="135"/>
      <c r="FX61" s="135"/>
      <c r="FY61" s="135"/>
      <c r="FZ61" s="135"/>
      <c r="GA61" s="135"/>
      <c r="GB61" s="135"/>
      <c r="GC61" s="135"/>
      <c r="GD61" s="135"/>
      <c r="GE61" s="135"/>
      <c r="GF61" s="135"/>
      <c r="GG61" s="135"/>
      <c r="GH61" s="135"/>
      <c r="GI61" s="135"/>
      <c r="GJ61" s="135"/>
      <c r="GK61" s="135"/>
      <c r="GL61" s="135"/>
      <c r="GM61" s="135"/>
      <c r="GN61" s="135"/>
      <c r="GO61" s="135"/>
      <c r="GP61" s="135"/>
      <c r="GQ61" s="135"/>
      <c r="GR61" s="135"/>
      <c r="GS61" s="135"/>
      <c r="GT61" s="135"/>
      <c r="GU61" s="135"/>
      <c r="GV61" s="135"/>
      <c r="GW61" s="135"/>
      <c r="GX61" s="135"/>
      <c r="GY61" s="135"/>
      <c r="GZ61" s="135"/>
      <c r="HA61" s="135"/>
      <c r="HB61" s="135"/>
      <c r="HC61" s="135"/>
      <c r="HD61" s="135"/>
      <c r="HE61" s="135"/>
      <c r="HF61" s="135"/>
      <c r="HG61" s="135"/>
      <c r="HH61" s="135"/>
      <c r="HI61" s="135"/>
      <c r="HJ61" s="135"/>
      <c r="HK61" s="135"/>
      <c r="HL61" s="135"/>
      <c r="HM61" s="135"/>
      <c r="HN61" s="135"/>
      <c r="HO61" s="135"/>
      <c r="HP61" s="135"/>
      <c r="HQ61" s="135"/>
      <c r="HR61" s="135"/>
      <c r="HS61" s="135"/>
      <c r="HT61" s="135"/>
      <c r="HU61" s="135"/>
      <c r="HV61" s="135"/>
      <c r="HW61" s="135"/>
      <c r="HX61" s="135"/>
      <c r="HY61" s="135"/>
      <c r="HZ61" s="135"/>
      <c r="IA61" s="135"/>
      <c r="IB61" s="135"/>
      <c r="IC61" s="135"/>
      <c r="ID61" s="135"/>
      <c r="IE61" s="135"/>
      <c r="IF61" s="135"/>
      <c r="IG61" s="135"/>
      <c r="IH61" s="135"/>
      <c r="II61" s="135"/>
      <c r="IJ61" s="135"/>
      <c r="IK61" s="135"/>
      <c r="IL61" s="135"/>
      <c r="IM61" s="135"/>
      <c r="IN61" s="135"/>
      <c r="IO61" s="135"/>
      <c r="IP61" s="135"/>
      <c r="IQ61" s="135"/>
      <c r="IR61" s="135"/>
      <c r="IS61" s="135"/>
      <c r="IT61" s="135"/>
      <c r="IU61" s="135"/>
      <c r="IV61" s="135"/>
      <c r="IW61" s="135"/>
      <c r="IX61" s="135"/>
      <c r="IY61" s="135"/>
      <c r="IZ61" s="135"/>
    </row>
    <row r="62" spans="2:260" x14ac:dyDescent="0.3">
      <c r="B62" s="138" t="s">
        <v>247</v>
      </c>
      <c r="C62" s="262">
        <f>+('CALCULO COSTOS E INVERSIONES'!G9+'CALCULO COSTOS E INVERSIONES'!G10+'CALCULO COSTOS E INVERSIONES'!G12+'CALCULO COSTOS E INVERSIONES'!G14+'CALCULO COSTOS E INVERSIONES'!G15+'CALCULO COSTOS E INVERSIONES'!G16+'CALCULO COSTOS E INVERSIONES'!G18+'CALCULO COSTOS E INVERSIONES'!G19+'CALCULO COSTOS E INVERSIONES'!G22+'CALCULO COSTOS E INVERSIONES'!G23+'CALCULO COSTOS E INVERSIONES'!G24)</f>
        <v>19455000</v>
      </c>
      <c r="D62" s="25">
        <v>5</v>
      </c>
      <c r="E62" s="262">
        <f>+C62/D62</f>
        <v>3891000</v>
      </c>
      <c r="F62" s="25">
        <v>5</v>
      </c>
      <c r="G62" s="262">
        <f>+C62-(E62*F62)</f>
        <v>0</v>
      </c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  <c r="DM62" s="116"/>
      <c r="DN62" s="116"/>
      <c r="DO62" s="116"/>
      <c r="DP62" s="116"/>
      <c r="DQ62" s="116"/>
      <c r="DR62" s="116"/>
      <c r="DS62" s="116"/>
      <c r="DT62" s="116"/>
      <c r="DU62" s="116"/>
      <c r="DV62" s="116"/>
      <c r="DW62" s="116"/>
      <c r="DX62" s="116"/>
      <c r="DY62" s="116"/>
      <c r="DZ62" s="116"/>
      <c r="EA62" s="116"/>
      <c r="EB62" s="116"/>
      <c r="EC62" s="116"/>
      <c r="ED62" s="116"/>
      <c r="EE62" s="116"/>
      <c r="EF62" s="116"/>
      <c r="EG62" s="116"/>
      <c r="EH62" s="116"/>
      <c r="EI62" s="116"/>
      <c r="EJ62" s="116"/>
      <c r="EK62" s="116"/>
      <c r="EL62" s="116"/>
      <c r="EM62" s="116"/>
      <c r="EN62" s="116"/>
      <c r="EO62" s="116"/>
      <c r="EP62" s="116"/>
      <c r="EQ62" s="116"/>
      <c r="ER62" s="116"/>
      <c r="ES62" s="116"/>
      <c r="ET62" s="116"/>
      <c r="EU62" s="116"/>
      <c r="EV62" s="116"/>
      <c r="EW62" s="116"/>
      <c r="EX62" s="116"/>
      <c r="EY62" s="116"/>
      <c r="EZ62" s="116"/>
      <c r="FA62" s="116"/>
      <c r="FB62" s="116"/>
      <c r="FC62" s="116"/>
      <c r="FD62" s="116"/>
      <c r="FE62" s="116"/>
      <c r="FF62" s="116"/>
      <c r="FG62" s="116"/>
      <c r="FH62" s="116"/>
      <c r="FI62" s="116"/>
      <c r="FJ62" s="116"/>
      <c r="FK62" s="116"/>
      <c r="FL62" s="116"/>
      <c r="FM62" s="116"/>
      <c r="FN62" s="116"/>
      <c r="FO62" s="116"/>
      <c r="FP62" s="116"/>
      <c r="FQ62" s="116"/>
      <c r="FR62" s="116"/>
      <c r="FS62" s="116"/>
      <c r="FT62" s="116"/>
      <c r="FU62" s="116"/>
      <c r="FV62" s="116"/>
      <c r="FW62" s="116"/>
      <c r="FX62" s="116"/>
      <c r="FY62" s="116"/>
      <c r="FZ62" s="116"/>
      <c r="GA62" s="116"/>
      <c r="GB62" s="116"/>
      <c r="GC62" s="116"/>
      <c r="GD62" s="116"/>
      <c r="GE62" s="116"/>
      <c r="GF62" s="116"/>
      <c r="GG62" s="116"/>
      <c r="GH62" s="116"/>
      <c r="GI62" s="116"/>
      <c r="GJ62" s="116"/>
      <c r="GK62" s="116"/>
      <c r="GL62" s="116"/>
      <c r="GM62" s="116"/>
      <c r="GN62" s="116"/>
      <c r="GO62" s="116"/>
      <c r="GP62" s="116"/>
      <c r="GQ62" s="116"/>
      <c r="GR62" s="116"/>
      <c r="GS62" s="116"/>
      <c r="GT62" s="116"/>
      <c r="GU62" s="116"/>
      <c r="GV62" s="116"/>
      <c r="GW62" s="116"/>
      <c r="GX62" s="116"/>
      <c r="GY62" s="116"/>
      <c r="GZ62" s="116"/>
      <c r="HA62" s="116"/>
      <c r="HB62" s="116"/>
      <c r="HC62" s="116"/>
      <c r="HD62" s="116"/>
      <c r="HE62" s="116"/>
      <c r="HF62" s="116"/>
      <c r="HG62" s="116"/>
      <c r="HH62" s="116"/>
      <c r="HI62" s="116"/>
      <c r="HJ62" s="116"/>
      <c r="HK62" s="116"/>
      <c r="HL62" s="116"/>
      <c r="HM62" s="116"/>
      <c r="HN62" s="116"/>
      <c r="HO62" s="116"/>
      <c r="HP62" s="116"/>
      <c r="HQ62" s="116"/>
      <c r="HR62" s="116"/>
      <c r="HS62" s="116"/>
      <c r="HT62" s="116"/>
      <c r="HU62" s="116"/>
      <c r="HV62" s="116"/>
      <c r="HW62" s="116"/>
      <c r="HX62" s="116"/>
      <c r="HY62" s="116"/>
      <c r="HZ62" s="116"/>
      <c r="IA62" s="116"/>
      <c r="IB62" s="116"/>
      <c r="IC62" s="116"/>
      <c r="ID62" s="116"/>
      <c r="IE62" s="116"/>
      <c r="IF62" s="116"/>
      <c r="IG62" s="116"/>
      <c r="IH62" s="116"/>
      <c r="II62" s="116"/>
      <c r="IJ62" s="116"/>
      <c r="IK62" s="116"/>
      <c r="IL62" s="116"/>
      <c r="IM62" s="116"/>
      <c r="IN62" s="116"/>
      <c r="IO62" s="116"/>
      <c r="IP62" s="116"/>
      <c r="IQ62" s="116"/>
      <c r="IR62" s="116"/>
      <c r="IS62" s="116"/>
      <c r="IT62" s="116"/>
      <c r="IU62" s="116"/>
      <c r="IV62" s="116"/>
      <c r="IW62" s="116"/>
      <c r="IX62" s="116"/>
      <c r="IY62" s="116"/>
      <c r="IZ62" s="116"/>
    </row>
    <row r="63" spans="2:260" x14ac:dyDescent="0.3">
      <c r="B63" s="138" t="s">
        <v>248</v>
      </c>
      <c r="C63" s="262">
        <f>+('CALCULO COSTOS E INVERSIONES'!G11+'CALCULO COSTOS E INVERSIONES'!G13+'CALCULO COSTOS E INVERSIONES'!G17+'CALCULO COSTOS E INVERSIONES'!G20+'CALCULO COSTOS E INVERSIONES'!G21)</f>
        <v>11250000</v>
      </c>
      <c r="D63" s="25">
        <v>10</v>
      </c>
      <c r="E63" s="262">
        <f>+C63/D63</f>
        <v>1125000</v>
      </c>
      <c r="F63" s="25">
        <v>5</v>
      </c>
      <c r="G63" s="262">
        <f>+C63-(E63*F63)</f>
        <v>5625000</v>
      </c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  <c r="DM63" s="116"/>
      <c r="DN63" s="116"/>
      <c r="DO63" s="116"/>
      <c r="DP63" s="116"/>
      <c r="DQ63" s="116"/>
      <c r="DR63" s="116"/>
      <c r="DS63" s="116"/>
      <c r="DT63" s="116"/>
      <c r="DU63" s="116"/>
      <c r="DV63" s="116"/>
      <c r="DW63" s="116"/>
      <c r="DX63" s="116"/>
      <c r="DY63" s="116"/>
      <c r="DZ63" s="116"/>
      <c r="EA63" s="116"/>
      <c r="EB63" s="116"/>
      <c r="EC63" s="116"/>
      <c r="ED63" s="116"/>
      <c r="EE63" s="116"/>
      <c r="EF63" s="116"/>
      <c r="EG63" s="116"/>
      <c r="EH63" s="116"/>
      <c r="EI63" s="116"/>
      <c r="EJ63" s="116"/>
      <c r="EK63" s="116"/>
      <c r="EL63" s="116"/>
      <c r="EM63" s="116"/>
      <c r="EN63" s="116"/>
      <c r="EO63" s="116"/>
      <c r="EP63" s="116"/>
      <c r="EQ63" s="116"/>
      <c r="ER63" s="116"/>
      <c r="ES63" s="116"/>
      <c r="ET63" s="116"/>
      <c r="EU63" s="116"/>
      <c r="EV63" s="116"/>
      <c r="EW63" s="116"/>
      <c r="EX63" s="116"/>
      <c r="EY63" s="116"/>
      <c r="EZ63" s="116"/>
      <c r="FA63" s="116"/>
      <c r="FB63" s="116"/>
      <c r="FC63" s="116"/>
      <c r="FD63" s="116"/>
      <c r="FE63" s="116"/>
      <c r="FF63" s="116"/>
      <c r="FG63" s="116"/>
      <c r="FH63" s="116"/>
      <c r="FI63" s="116"/>
      <c r="FJ63" s="116"/>
      <c r="FK63" s="116"/>
      <c r="FL63" s="116"/>
      <c r="FM63" s="116"/>
      <c r="FN63" s="116"/>
      <c r="FO63" s="116"/>
      <c r="FP63" s="116"/>
      <c r="FQ63" s="116"/>
      <c r="FR63" s="116"/>
      <c r="FS63" s="116"/>
      <c r="FT63" s="116"/>
      <c r="FU63" s="116"/>
      <c r="FV63" s="116"/>
      <c r="FW63" s="116"/>
      <c r="FX63" s="116"/>
      <c r="FY63" s="116"/>
      <c r="FZ63" s="116"/>
      <c r="GA63" s="116"/>
      <c r="GB63" s="116"/>
      <c r="GC63" s="116"/>
      <c r="GD63" s="116"/>
      <c r="GE63" s="116"/>
      <c r="GF63" s="116"/>
      <c r="GG63" s="116"/>
      <c r="GH63" s="116"/>
      <c r="GI63" s="116"/>
      <c r="GJ63" s="116"/>
      <c r="GK63" s="116"/>
      <c r="GL63" s="116"/>
      <c r="GM63" s="116"/>
      <c r="GN63" s="116"/>
      <c r="GO63" s="116"/>
      <c r="GP63" s="116"/>
      <c r="GQ63" s="116"/>
      <c r="GR63" s="116"/>
      <c r="GS63" s="116"/>
      <c r="GT63" s="116"/>
      <c r="GU63" s="116"/>
      <c r="GV63" s="116"/>
      <c r="GW63" s="116"/>
      <c r="GX63" s="116"/>
      <c r="GY63" s="116"/>
      <c r="GZ63" s="116"/>
      <c r="HA63" s="116"/>
      <c r="HB63" s="116"/>
      <c r="HC63" s="116"/>
      <c r="HD63" s="116"/>
      <c r="HE63" s="116"/>
      <c r="HF63" s="116"/>
      <c r="HG63" s="116"/>
      <c r="HH63" s="116"/>
      <c r="HI63" s="116"/>
      <c r="HJ63" s="116"/>
      <c r="HK63" s="116"/>
      <c r="HL63" s="116"/>
      <c r="HM63" s="116"/>
      <c r="HN63" s="116"/>
      <c r="HO63" s="116"/>
      <c r="HP63" s="116"/>
      <c r="HQ63" s="116"/>
      <c r="HR63" s="116"/>
      <c r="HS63" s="116"/>
      <c r="HT63" s="116"/>
      <c r="HU63" s="116"/>
      <c r="HV63" s="116"/>
      <c r="HW63" s="116"/>
      <c r="HX63" s="116"/>
      <c r="HY63" s="116"/>
      <c r="HZ63" s="116"/>
      <c r="IA63" s="116"/>
      <c r="IB63" s="116"/>
      <c r="IC63" s="116"/>
      <c r="ID63" s="116"/>
      <c r="IE63" s="116"/>
      <c r="IF63" s="116"/>
      <c r="IG63" s="116"/>
      <c r="IH63" s="116"/>
      <c r="II63" s="116"/>
      <c r="IJ63" s="116"/>
      <c r="IK63" s="116"/>
      <c r="IL63" s="116"/>
      <c r="IM63" s="116"/>
      <c r="IN63" s="116"/>
      <c r="IO63" s="116"/>
      <c r="IP63" s="116"/>
      <c r="IQ63" s="116"/>
      <c r="IR63" s="116"/>
      <c r="IS63" s="116"/>
      <c r="IT63" s="116"/>
      <c r="IU63" s="116"/>
      <c r="IV63" s="116"/>
      <c r="IW63" s="116"/>
      <c r="IX63" s="116"/>
      <c r="IY63" s="116"/>
      <c r="IZ63" s="116"/>
    </row>
    <row r="64" spans="2:260" x14ac:dyDescent="0.3">
      <c r="F64" s="225" t="s">
        <v>254</v>
      </c>
      <c r="G64" s="263">
        <f>+SUM(G63:G63)</f>
        <v>5625000</v>
      </c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  <c r="DM64" s="116"/>
      <c r="DN64" s="116"/>
      <c r="DO64" s="116"/>
      <c r="DP64" s="116"/>
      <c r="DQ64" s="116"/>
      <c r="DR64" s="116"/>
      <c r="DS64" s="116"/>
      <c r="DT64" s="116"/>
      <c r="DU64" s="116"/>
      <c r="DV64" s="116"/>
      <c r="DW64" s="116"/>
      <c r="DX64" s="116"/>
      <c r="DY64" s="116"/>
      <c r="DZ64" s="116"/>
      <c r="EA64" s="116"/>
      <c r="EB64" s="116"/>
      <c r="EC64" s="116"/>
      <c r="ED64" s="116"/>
      <c r="EE64" s="116"/>
      <c r="EF64" s="116"/>
      <c r="EG64" s="116"/>
      <c r="EH64" s="116"/>
      <c r="EI64" s="116"/>
      <c r="EJ64" s="116"/>
      <c r="EK64" s="116"/>
      <c r="EL64" s="116"/>
      <c r="EM64" s="116"/>
      <c r="EN64" s="116"/>
      <c r="EO64" s="116"/>
      <c r="EP64" s="116"/>
      <c r="EQ64" s="116"/>
      <c r="ER64" s="116"/>
      <c r="ES64" s="116"/>
      <c r="ET64" s="116"/>
      <c r="EU64" s="116"/>
      <c r="EV64" s="116"/>
      <c r="EW64" s="116"/>
      <c r="EX64" s="116"/>
      <c r="EY64" s="116"/>
      <c r="EZ64" s="116"/>
      <c r="FA64" s="116"/>
      <c r="FB64" s="116"/>
      <c r="FC64" s="116"/>
      <c r="FD64" s="116"/>
      <c r="FE64" s="116"/>
      <c r="FF64" s="116"/>
      <c r="FG64" s="116"/>
      <c r="FH64" s="116"/>
      <c r="FI64" s="116"/>
      <c r="FJ64" s="116"/>
      <c r="FK64" s="116"/>
      <c r="FL64" s="116"/>
      <c r="FM64" s="116"/>
      <c r="FN64" s="116"/>
      <c r="FO64" s="116"/>
      <c r="FP64" s="116"/>
      <c r="FQ64" s="116"/>
      <c r="FR64" s="116"/>
      <c r="FS64" s="116"/>
      <c r="FT64" s="116"/>
      <c r="FU64" s="116"/>
      <c r="FV64" s="116"/>
      <c r="FW64" s="116"/>
      <c r="FX64" s="116"/>
      <c r="FY64" s="116"/>
      <c r="FZ64" s="116"/>
      <c r="GA64" s="116"/>
      <c r="GB64" s="116"/>
      <c r="GC64" s="116"/>
      <c r="GD64" s="116"/>
      <c r="GE64" s="116"/>
      <c r="GF64" s="116"/>
      <c r="GG64" s="116"/>
      <c r="GH64" s="116"/>
      <c r="GI64" s="116"/>
      <c r="GJ64" s="116"/>
      <c r="GK64" s="116"/>
      <c r="GL64" s="116"/>
      <c r="GM64" s="116"/>
      <c r="GN64" s="116"/>
      <c r="GO64" s="116"/>
      <c r="GP64" s="116"/>
      <c r="GQ64" s="116"/>
      <c r="GR64" s="116"/>
      <c r="GS64" s="116"/>
      <c r="GT64" s="116"/>
      <c r="GU64" s="116"/>
      <c r="GV64" s="116"/>
      <c r="GW64" s="116"/>
      <c r="GX64" s="116"/>
      <c r="GY64" s="116"/>
      <c r="GZ64" s="116"/>
      <c r="HA64" s="116"/>
      <c r="HB64" s="116"/>
      <c r="HC64" s="116"/>
      <c r="HD64" s="116"/>
      <c r="HE64" s="116"/>
      <c r="HF64" s="116"/>
      <c r="HG64" s="116"/>
      <c r="HH64" s="116"/>
      <c r="HI64" s="116"/>
      <c r="HJ64" s="116"/>
      <c r="HK64" s="116"/>
      <c r="HL64" s="116"/>
      <c r="HM64" s="116"/>
      <c r="HN64" s="116"/>
      <c r="HO64" s="116"/>
      <c r="HP64" s="116"/>
      <c r="HQ64" s="116"/>
      <c r="HR64" s="116"/>
      <c r="HS64" s="116"/>
      <c r="HT64" s="116"/>
      <c r="HU64" s="116"/>
      <c r="HV64" s="116"/>
      <c r="HW64" s="116"/>
      <c r="HX64" s="116"/>
      <c r="HY64" s="116"/>
      <c r="HZ64" s="116"/>
      <c r="IA64" s="116"/>
      <c r="IB64" s="116"/>
      <c r="IC64" s="116"/>
      <c r="ID64" s="116"/>
      <c r="IE64" s="116"/>
      <c r="IF64" s="116"/>
      <c r="IG64" s="116"/>
      <c r="IH64" s="116"/>
      <c r="II64" s="116"/>
      <c r="IJ64" s="116"/>
      <c r="IK64" s="116"/>
      <c r="IL64" s="116"/>
      <c r="IM64" s="116"/>
      <c r="IN64" s="116"/>
      <c r="IO64" s="116"/>
      <c r="IP64" s="116"/>
      <c r="IQ64" s="116"/>
      <c r="IR64" s="116"/>
      <c r="IS64" s="116"/>
      <c r="IT64" s="116"/>
      <c r="IU64" s="116"/>
      <c r="IV64" s="116"/>
      <c r="IW64" s="116"/>
      <c r="IX64" s="116"/>
      <c r="IY64" s="116"/>
      <c r="IZ64" s="116"/>
    </row>
    <row r="65" spans="2:260" x14ac:dyDescent="0.3">
      <c r="F65" s="38"/>
      <c r="G65" s="22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116"/>
      <c r="EJ65" s="116"/>
      <c r="EK65" s="116"/>
      <c r="EL65" s="116"/>
      <c r="EM65" s="116"/>
      <c r="EN65" s="116"/>
      <c r="EO65" s="116"/>
      <c r="EP65" s="116"/>
      <c r="EQ65" s="116"/>
      <c r="ER65" s="116"/>
      <c r="ES65" s="116"/>
      <c r="ET65" s="116"/>
      <c r="EU65" s="116"/>
      <c r="EV65" s="116"/>
      <c r="EW65" s="116"/>
      <c r="EX65" s="116"/>
      <c r="EY65" s="116"/>
      <c r="EZ65" s="116"/>
      <c r="FA65" s="116"/>
      <c r="FB65" s="116"/>
      <c r="FC65" s="116"/>
      <c r="FD65" s="116"/>
      <c r="FE65" s="116"/>
      <c r="FF65" s="116"/>
      <c r="FG65" s="116"/>
      <c r="FH65" s="116"/>
      <c r="FI65" s="116"/>
      <c r="FJ65" s="116"/>
      <c r="FK65" s="116"/>
      <c r="FL65" s="116"/>
      <c r="FM65" s="116"/>
      <c r="FN65" s="116"/>
      <c r="FO65" s="116"/>
      <c r="FP65" s="116"/>
      <c r="FQ65" s="116"/>
      <c r="FR65" s="116"/>
      <c r="FS65" s="116"/>
      <c r="FT65" s="116"/>
      <c r="FU65" s="116"/>
      <c r="FV65" s="116"/>
      <c r="FW65" s="116"/>
      <c r="FX65" s="116"/>
      <c r="FY65" s="116"/>
      <c r="FZ65" s="116"/>
      <c r="GA65" s="116"/>
      <c r="GB65" s="116"/>
      <c r="GC65" s="116"/>
      <c r="GD65" s="116"/>
      <c r="GE65" s="116"/>
      <c r="GF65" s="116"/>
      <c r="GG65" s="116"/>
      <c r="GH65" s="116"/>
      <c r="GI65" s="116"/>
      <c r="GJ65" s="116"/>
      <c r="GK65" s="116"/>
      <c r="GL65" s="116"/>
      <c r="GM65" s="116"/>
      <c r="GN65" s="116"/>
      <c r="GO65" s="116"/>
      <c r="GP65" s="116"/>
      <c r="GQ65" s="116"/>
      <c r="GR65" s="116"/>
      <c r="GS65" s="116"/>
      <c r="GT65" s="116"/>
      <c r="GU65" s="116"/>
      <c r="GV65" s="116"/>
      <c r="GW65" s="116"/>
      <c r="GX65" s="116"/>
      <c r="GY65" s="116"/>
      <c r="GZ65" s="116"/>
      <c r="HA65" s="116"/>
      <c r="HB65" s="116"/>
      <c r="HC65" s="116"/>
      <c r="HD65" s="116"/>
      <c r="HE65" s="116"/>
      <c r="HF65" s="116"/>
      <c r="HG65" s="116"/>
      <c r="HH65" s="116"/>
      <c r="HI65" s="116"/>
      <c r="HJ65" s="116"/>
      <c r="HK65" s="116"/>
      <c r="HL65" s="116"/>
      <c r="HM65" s="116"/>
      <c r="HN65" s="116"/>
      <c r="HO65" s="116"/>
      <c r="HP65" s="116"/>
      <c r="HQ65" s="116"/>
      <c r="HR65" s="116"/>
      <c r="HS65" s="116"/>
      <c r="HT65" s="116"/>
      <c r="HU65" s="116"/>
      <c r="HV65" s="116"/>
      <c r="HW65" s="116"/>
      <c r="HX65" s="116"/>
      <c r="HY65" s="116"/>
      <c r="HZ65" s="116"/>
      <c r="IA65" s="116"/>
      <c r="IB65" s="116"/>
      <c r="IC65" s="116"/>
      <c r="ID65" s="116"/>
      <c r="IE65" s="116"/>
      <c r="IF65" s="116"/>
      <c r="IG65" s="116"/>
      <c r="IH65" s="116"/>
      <c r="II65" s="116"/>
      <c r="IJ65" s="116"/>
      <c r="IK65" s="116"/>
      <c r="IL65" s="116"/>
      <c r="IM65" s="116"/>
      <c r="IN65" s="116"/>
      <c r="IO65" s="116"/>
      <c r="IP65" s="116"/>
      <c r="IQ65" s="116"/>
      <c r="IR65" s="116"/>
      <c r="IS65" s="116"/>
      <c r="IT65" s="116"/>
      <c r="IU65" s="116"/>
      <c r="IV65" s="116"/>
      <c r="IW65" s="116"/>
      <c r="IX65" s="116"/>
      <c r="IY65" s="116"/>
      <c r="IZ65" s="116"/>
    </row>
    <row r="66" spans="2:260" x14ac:dyDescent="0.3">
      <c r="B66" s="370" t="s">
        <v>153</v>
      </c>
      <c r="C66" s="370"/>
      <c r="D66" s="135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116"/>
      <c r="EU66" s="116"/>
      <c r="EV66" s="116"/>
      <c r="EW66" s="116"/>
      <c r="EX66" s="116"/>
      <c r="EY66" s="116"/>
      <c r="EZ66" s="116"/>
      <c r="FA66" s="116"/>
      <c r="FB66" s="116"/>
      <c r="FC66" s="116"/>
      <c r="FD66" s="116"/>
      <c r="FE66" s="116"/>
      <c r="FF66" s="116"/>
      <c r="FG66" s="116"/>
      <c r="FH66" s="116"/>
      <c r="FI66" s="116"/>
      <c r="FJ66" s="116"/>
      <c r="FK66" s="116"/>
      <c r="FL66" s="116"/>
      <c r="FM66" s="116"/>
      <c r="FN66" s="116"/>
      <c r="FO66" s="116"/>
      <c r="FP66" s="116"/>
      <c r="FQ66" s="116"/>
      <c r="FR66" s="116"/>
      <c r="FS66" s="116"/>
      <c r="FT66" s="116"/>
      <c r="FU66" s="116"/>
      <c r="FV66" s="116"/>
      <c r="FW66" s="116"/>
      <c r="FX66" s="116"/>
      <c r="FY66" s="116"/>
      <c r="FZ66" s="116"/>
      <c r="GA66" s="116"/>
      <c r="GB66" s="116"/>
      <c r="GC66" s="116"/>
      <c r="GD66" s="116"/>
      <c r="GE66" s="116"/>
      <c r="GF66" s="116"/>
      <c r="GG66" s="116"/>
      <c r="GH66" s="116"/>
      <c r="GI66" s="116"/>
      <c r="GJ66" s="116"/>
      <c r="GK66" s="116"/>
      <c r="GL66" s="116"/>
      <c r="GM66" s="116"/>
      <c r="GN66" s="116"/>
      <c r="GO66" s="116"/>
      <c r="GP66" s="116"/>
      <c r="GQ66" s="116"/>
      <c r="GR66" s="116"/>
      <c r="GS66" s="116"/>
      <c r="GT66" s="116"/>
      <c r="GU66" s="116"/>
      <c r="GV66" s="116"/>
      <c r="GW66" s="116"/>
      <c r="GX66" s="116"/>
      <c r="GY66" s="116"/>
      <c r="GZ66" s="116"/>
      <c r="HA66" s="116"/>
      <c r="HB66" s="116"/>
      <c r="HC66" s="116"/>
      <c r="HD66" s="116"/>
      <c r="HE66" s="116"/>
      <c r="HF66" s="116"/>
      <c r="HG66" s="116"/>
      <c r="HH66" s="116"/>
      <c r="HI66" s="116"/>
      <c r="HJ66" s="116"/>
      <c r="HK66" s="116"/>
      <c r="HL66" s="116"/>
      <c r="HM66" s="116"/>
      <c r="HN66" s="116"/>
      <c r="HO66" s="116"/>
      <c r="HP66" s="116"/>
      <c r="HQ66" s="116"/>
      <c r="HR66" s="116"/>
      <c r="HS66" s="116"/>
      <c r="HT66" s="116"/>
      <c r="HU66" s="116"/>
      <c r="HV66" s="116"/>
      <c r="HW66" s="116"/>
      <c r="HX66" s="116"/>
      <c r="HY66" s="116"/>
      <c r="HZ66" s="116"/>
      <c r="IA66" s="116"/>
      <c r="IB66" s="116"/>
      <c r="IC66" s="116"/>
      <c r="ID66" s="116"/>
      <c r="IE66" s="116"/>
      <c r="IF66" s="116"/>
      <c r="IG66" s="116"/>
      <c r="IH66" s="116"/>
      <c r="II66" s="116"/>
      <c r="IJ66" s="116"/>
      <c r="IK66" s="116"/>
      <c r="IL66" s="116"/>
      <c r="IM66" s="116"/>
      <c r="IN66" s="116"/>
      <c r="IO66" s="116"/>
      <c r="IP66" s="116"/>
      <c r="IQ66" s="116"/>
      <c r="IR66" s="116"/>
      <c r="IS66" s="116"/>
      <c r="IT66" s="116"/>
      <c r="IU66" s="116"/>
      <c r="IV66" s="116"/>
      <c r="IW66" s="116"/>
      <c r="IX66" s="116"/>
      <c r="IY66" s="116"/>
      <c r="IZ66" s="116"/>
    </row>
    <row r="67" spans="2:260" x14ac:dyDescent="0.3">
      <c r="B67" s="377" t="s">
        <v>154</v>
      </c>
      <c r="C67" s="377"/>
      <c r="D67" s="135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116"/>
      <c r="EU67" s="116"/>
      <c r="EV67" s="116"/>
      <c r="EW67" s="116"/>
      <c r="EX67" s="116"/>
      <c r="EY67" s="116"/>
      <c r="EZ67" s="116"/>
      <c r="FA67" s="116"/>
      <c r="FB67" s="116"/>
      <c r="FC67" s="116"/>
      <c r="FD67" s="116"/>
      <c r="FE67" s="116"/>
      <c r="FF67" s="116"/>
      <c r="FG67" s="116"/>
      <c r="FH67" s="116"/>
      <c r="FI67" s="116"/>
      <c r="FJ67" s="116"/>
      <c r="FK67" s="116"/>
      <c r="FL67" s="116"/>
      <c r="FM67" s="116"/>
      <c r="FN67" s="116"/>
      <c r="FO67" s="116"/>
      <c r="FP67" s="116"/>
      <c r="FQ67" s="116"/>
      <c r="FR67" s="116"/>
      <c r="FS67" s="116"/>
      <c r="FT67" s="116"/>
      <c r="FU67" s="116"/>
      <c r="FV67" s="116"/>
      <c r="FW67" s="116"/>
      <c r="FX67" s="116"/>
      <c r="FY67" s="116"/>
      <c r="FZ67" s="116"/>
      <c r="GA67" s="116"/>
      <c r="GB67" s="116"/>
      <c r="GC67" s="116"/>
      <c r="GD67" s="116"/>
      <c r="GE67" s="116"/>
      <c r="GF67" s="116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6"/>
      <c r="HI67" s="116"/>
      <c r="HJ67" s="116"/>
      <c r="HK67" s="116"/>
      <c r="HL67" s="116"/>
      <c r="HM67" s="116"/>
      <c r="HN67" s="116"/>
      <c r="HO67" s="116"/>
      <c r="HP67" s="116"/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  <c r="IW67" s="116"/>
      <c r="IX67" s="116"/>
      <c r="IY67" s="116"/>
      <c r="IZ67" s="116"/>
    </row>
    <row r="68" spans="2:260" x14ac:dyDescent="0.3">
      <c r="B68" s="133" t="s">
        <v>155</v>
      </c>
      <c r="C68" s="209">
        <v>50000000</v>
      </c>
      <c r="D68" s="135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116"/>
      <c r="EU68" s="116"/>
      <c r="EV68" s="116"/>
      <c r="EW68" s="116"/>
      <c r="EX68" s="116"/>
      <c r="EY68" s="116"/>
      <c r="EZ68" s="116"/>
      <c r="FA68" s="116"/>
      <c r="FB68" s="116"/>
      <c r="FC68" s="116"/>
      <c r="FD68" s="116"/>
      <c r="FE68" s="116"/>
      <c r="FF68" s="116"/>
      <c r="FG68" s="116"/>
      <c r="FH68" s="116"/>
      <c r="FI68" s="116"/>
      <c r="FJ68" s="116"/>
      <c r="FK68" s="116"/>
      <c r="FL68" s="116"/>
      <c r="FM68" s="116"/>
      <c r="FN68" s="116"/>
      <c r="FO68" s="116"/>
      <c r="FP68" s="116"/>
      <c r="FQ68" s="116"/>
      <c r="FR68" s="116"/>
      <c r="FS68" s="116"/>
      <c r="FT68" s="116"/>
      <c r="FU68" s="116"/>
      <c r="FV68" s="116"/>
      <c r="FW68" s="116"/>
      <c r="FX68" s="116"/>
      <c r="FY68" s="116"/>
      <c r="FZ68" s="116"/>
      <c r="GA68" s="116"/>
      <c r="GB68" s="116"/>
      <c r="GC68" s="116"/>
      <c r="GD68" s="116"/>
      <c r="GE68" s="116"/>
      <c r="GF68" s="116"/>
      <c r="GG68" s="116"/>
      <c r="GH68" s="116"/>
      <c r="GI68" s="116"/>
      <c r="GJ68" s="116"/>
      <c r="GK68" s="116"/>
      <c r="GL68" s="116"/>
      <c r="GM68" s="116"/>
      <c r="GN68" s="116"/>
      <c r="GO68" s="116"/>
      <c r="GP68" s="116"/>
      <c r="GQ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  <c r="IW68" s="116"/>
      <c r="IX68" s="116"/>
      <c r="IY68" s="116"/>
      <c r="IZ68" s="116"/>
    </row>
    <row r="69" spans="2:260" x14ac:dyDescent="0.3">
      <c r="B69" s="133" t="s">
        <v>156</v>
      </c>
      <c r="C69" s="212">
        <v>0.24890000000000001</v>
      </c>
      <c r="D69" s="135" t="s">
        <v>258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  <c r="DM69" s="116"/>
      <c r="DN69" s="116"/>
      <c r="DO69" s="116"/>
      <c r="DP69" s="116"/>
      <c r="DQ69" s="116"/>
      <c r="DR69" s="116"/>
      <c r="DS69" s="116"/>
      <c r="DT69" s="116"/>
      <c r="DU69" s="116"/>
      <c r="DV69" s="116"/>
      <c r="DW69" s="116"/>
      <c r="DX69" s="116"/>
      <c r="DY69" s="116"/>
      <c r="DZ69" s="116"/>
      <c r="EA69" s="116"/>
      <c r="EB69" s="116"/>
      <c r="EC69" s="116"/>
      <c r="ED69" s="116"/>
      <c r="EE69" s="116"/>
      <c r="EF69" s="116"/>
      <c r="EG69" s="116"/>
      <c r="EH69" s="116"/>
      <c r="EI69" s="116"/>
      <c r="EJ69" s="116"/>
      <c r="EK69" s="116"/>
      <c r="EL69" s="116"/>
      <c r="EM69" s="116"/>
      <c r="EN69" s="116"/>
      <c r="EO69" s="116"/>
      <c r="EP69" s="116"/>
      <c r="EQ69" s="116"/>
      <c r="ER69" s="116"/>
      <c r="ES69" s="116"/>
      <c r="ET69" s="116"/>
      <c r="EU69" s="116"/>
      <c r="EV69" s="116"/>
      <c r="EW69" s="116"/>
      <c r="EX69" s="116"/>
      <c r="EY69" s="116"/>
      <c r="EZ69" s="116"/>
      <c r="FA69" s="116"/>
      <c r="FB69" s="116"/>
      <c r="FC69" s="116"/>
      <c r="FD69" s="116"/>
      <c r="FE69" s="116"/>
      <c r="FF69" s="116"/>
      <c r="FG69" s="116"/>
      <c r="FH69" s="116"/>
      <c r="FI69" s="116"/>
      <c r="FJ69" s="116"/>
      <c r="FK69" s="116"/>
      <c r="FL69" s="116"/>
      <c r="FM69" s="116"/>
      <c r="FN69" s="116"/>
      <c r="FO69" s="116"/>
      <c r="FP69" s="116"/>
      <c r="FQ69" s="116"/>
      <c r="FR69" s="116"/>
      <c r="FS69" s="116"/>
      <c r="FT69" s="116"/>
      <c r="FU69" s="116"/>
      <c r="FV69" s="116"/>
      <c r="FW69" s="116"/>
      <c r="FX69" s="116"/>
      <c r="FY69" s="116"/>
      <c r="FZ69" s="116"/>
      <c r="GA69" s="116"/>
      <c r="GB69" s="116"/>
      <c r="GC69" s="116"/>
      <c r="GD69" s="116"/>
      <c r="GE69" s="116"/>
      <c r="GF69" s="116"/>
      <c r="GG69" s="116"/>
      <c r="GH69" s="116"/>
      <c r="GI69" s="116"/>
      <c r="GJ69" s="116"/>
      <c r="GK69" s="116"/>
      <c r="GL69" s="116"/>
      <c r="GM69" s="116"/>
      <c r="GN69" s="116"/>
      <c r="GO69" s="116"/>
      <c r="GP69" s="116"/>
      <c r="GQ69" s="116"/>
      <c r="GR69" s="116"/>
      <c r="GS69" s="116"/>
      <c r="GT69" s="116"/>
      <c r="GU69" s="116"/>
      <c r="GV69" s="116"/>
      <c r="GW69" s="116"/>
      <c r="GX69" s="116"/>
      <c r="GY69" s="116"/>
      <c r="GZ69" s="116"/>
      <c r="HA69" s="116"/>
      <c r="HB69" s="116"/>
      <c r="HC69" s="116"/>
      <c r="HD69" s="116"/>
      <c r="HE69" s="116"/>
      <c r="HF69" s="116"/>
      <c r="HG69" s="116"/>
      <c r="HH69" s="116"/>
      <c r="HI69" s="116"/>
      <c r="HJ69" s="116"/>
      <c r="HK69" s="116"/>
      <c r="HL69" s="116"/>
      <c r="HM69" s="116"/>
      <c r="HN69" s="116"/>
      <c r="HO69" s="116"/>
      <c r="HP69" s="116"/>
      <c r="HQ69" s="116"/>
      <c r="HR69" s="116"/>
      <c r="HS69" s="116"/>
      <c r="HT69" s="116"/>
      <c r="HU69" s="116"/>
      <c r="HV69" s="116"/>
      <c r="HW69" s="116"/>
      <c r="HX69" s="116"/>
      <c r="HY69" s="116"/>
      <c r="HZ69" s="116"/>
      <c r="IA69" s="116"/>
      <c r="IB69" s="116"/>
      <c r="IC69" s="116"/>
      <c r="ID69" s="116"/>
      <c r="IE69" s="116"/>
      <c r="IF69" s="116"/>
      <c r="IG69" s="116"/>
      <c r="IH69" s="116"/>
      <c r="II69" s="116"/>
      <c r="IJ69" s="116"/>
      <c r="IK69" s="116"/>
      <c r="IL69" s="116"/>
      <c r="IM69" s="116"/>
      <c r="IN69" s="116"/>
      <c r="IO69" s="116"/>
      <c r="IP69" s="116"/>
      <c r="IQ69" s="116"/>
      <c r="IR69" s="116"/>
      <c r="IS69" s="116"/>
      <c r="IT69" s="116"/>
      <c r="IU69" s="116"/>
      <c r="IV69" s="116"/>
      <c r="IW69" s="116"/>
      <c r="IX69" s="116"/>
      <c r="IY69" s="116"/>
      <c r="IZ69" s="116"/>
    </row>
    <row r="70" spans="2:260" x14ac:dyDescent="0.3">
      <c r="B70" s="133" t="s">
        <v>157</v>
      </c>
      <c r="C70" s="153" t="s">
        <v>257</v>
      </c>
      <c r="D70" s="135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  <c r="DM70" s="116"/>
      <c r="DN70" s="116"/>
      <c r="DO70" s="116"/>
      <c r="DP70" s="116"/>
      <c r="DQ70" s="116"/>
      <c r="DR70" s="116"/>
      <c r="DS70" s="116"/>
      <c r="DT70" s="116"/>
      <c r="DU70" s="116"/>
      <c r="DV70" s="116"/>
      <c r="DW70" s="116"/>
      <c r="DX70" s="116"/>
      <c r="DY70" s="116"/>
      <c r="DZ70" s="116"/>
      <c r="EA70" s="116"/>
      <c r="EB70" s="116"/>
      <c r="EC70" s="116"/>
      <c r="ED70" s="116"/>
      <c r="EE70" s="116"/>
      <c r="EF70" s="116"/>
      <c r="EG70" s="116"/>
      <c r="EH70" s="116"/>
      <c r="EI70" s="116"/>
      <c r="EJ70" s="116"/>
      <c r="EK70" s="116"/>
      <c r="EL70" s="116"/>
      <c r="EM70" s="116"/>
      <c r="EN70" s="116"/>
      <c r="EO70" s="116"/>
      <c r="EP70" s="116"/>
      <c r="EQ70" s="116"/>
      <c r="ER70" s="116"/>
      <c r="ES70" s="116"/>
      <c r="ET70" s="116"/>
      <c r="EU70" s="116"/>
      <c r="EV70" s="116"/>
      <c r="EW70" s="116"/>
      <c r="EX70" s="116"/>
      <c r="EY70" s="116"/>
      <c r="EZ70" s="116"/>
      <c r="FA70" s="116"/>
      <c r="FB70" s="116"/>
      <c r="FC70" s="116"/>
      <c r="FD70" s="116"/>
      <c r="FE70" s="116"/>
      <c r="FF70" s="116"/>
      <c r="FG70" s="116"/>
      <c r="FH70" s="116"/>
      <c r="FI70" s="116"/>
      <c r="FJ70" s="116"/>
      <c r="FK70" s="116"/>
      <c r="FL70" s="116"/>
      <c r="FM70" s="116"/>
      <c r="FN70" s="116"/>
      <c r="FO70" s="116"/>
      <c r="FP70" s="116"/>
      <c r="FQ70" s="116"/>
      <c r="FR70" s="116"/>
      <c r="FS70" s="116"/>
      <c r="FT70" s="116"/>
      <c r="FU70" s="116"/>
      <c r="FV70" s="116"/>
      <c r="FW70" s="116"/>
      <c r="FX70" s="116"/>
      <c r="FY70" s="116"/>
      <c r="FZ70" s="116"/>
      <c r="GA70" s="116"/>
      <c r="GB70" s="116"/>
      <c r="GC70" s="116"/>
      <c r="GD70" s="116"/>
      <c r="GE70" s="116"/>
      <c r="GF70" s="116"/>
      <c r="GG70" s="116"/>
      <c r="GH70" s="116"/>
      <c r="GI70" s="116"/>
      <c r="GJ70" s="116"/>
      <c r="GK70" s="116"/>
      <c r="GL70" s="116"/>
      <c r="GM70" s="116"/>
      <c r="GN70" s="116"/>
      <c r="GO70" s="116"/>
      <c r="GP70" s="116"/>
      <c r="GQ70" s="116"/>
      <c r="GR70" s="116"/>
      <c r="GS70" s="116"/>
      <c r="GT70" s="116"/>
      <c r="GU70" s="116"/>
      <c r="GV70" s="116"/>
      <c r="GW70" s="116"/>
      <c r="GX70" s="116"/>
      <c r="GY70" s="116"/>
      <c r="GZ70" s="116"/>
      <c r="HA70" s="116"/>
      <c r="HB70" s="116"/>
      <c r="HC70" s="116"/>
      <c r="HD70" s="116"/>
      <c r="HE70" s="116"/>
      <c r="HF70" s="116"/>
      <c r="HG70" s="116"/>
      <c r="HH70" s="116"/>
      <c r="HI70" s="116"/>
      <c r="HJ70" s="116"/>
      <c r="HK70" s="116"/>
      <c r="HL70" s="116"/>
      <c r="HM70" s="116"/>
      <c r="HN70" s="116"/>
      <c r="HO70" s="116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116"/>
      <c r="IA70" s="116"/>
      <c r="IB70" s="116"/>
      <c r="IC70" s="116"/>
      <c r="ID70" s="116"/>
      <c r="IE70" s="116"/>
      <c r="IF70" s="116"/>
      <c r="IG70" s="116"/>
      <c r="IH70" s="116"/>
      <c r="II70" s="116"/>
      <c r="IJ70" s="116"/>
      <c r="IK70" s="116"/>
      <c r="IL70" s="116"/>
      <c r="IM70" s="116"/>
      <c r="IN70" s="116"/>
      <c r="IO70" s="116"/>
      <c r="IP70" s="116"/>
      <c r="IQ70" s="116"/>
      <c r="IR70" s="116"/>
      <c r="IS70" s="116"/>
      <c r="IT70" s="116"/>
      <c r="IU70" s="116"/>
      <c r="IV70" s="116"/>
      <c r="IW70" s="116"/>
      <c r="IX70" s="116"/>
      <c r="IY70" s="116"/>
      <c r="IZ70" s="116"/>
    </row>
    <row r="71" spans="2:260" x14ac:dyDescent="0.3">
      <c r="B71" s="133" t="s">
        <v>158</v>
      </c>
      <c r="C71" s="151">
        <v>5</v>
      </c>
      <c r="D71" s="135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  <c r="DM71" s="116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  <c r="DZ71" s="116"/>
      <c r="EA71" s="116"/>
      <c r="EB71" s="116"/>
      <c r="EC71" s="116"/>
      <c r="ED71" s="116"/>
      <c r="EE71" s="116"/>
      <c r="EF71" s="116"/>
      <c r="EG71" s="116"/>
      <c r="EH71" s="116"/>
      <c r="EI71" s="116"/>
      <c r="EJ71" s="116"/>
      <c r="EK71" s="116"/>
      <c r="EL71" s="116"/>
      <c r="EM71" s="116"/>
      <c r="EN71" s="116"/>
      <c r="EO71" s="116"/>
      <c r="EP71" s="116"/>
      <c r="EQ71" s="116"/>
      <c r="ER71" s="116"/>
      <c r="ES71" s="116"/>
      <c r="ET71" s="116"/>
      <c r="EU71" s="116"/>
      <c r="EV71" s="116"/>
      <c r="EW71" s="116"/>
      <c r="EX71" s="116"/>
      <c r="EY71" s="116"/>
      <c r="EZ71" s="116"/>
      <c r="FA71" s="116"/>
      <c r="FB71" s="116"/>
      <c r="FC71" s="116"/>
      <c r="FD71" s="116"/>
      <c r="FE71" s="116"/>
      <c r="FF71" s="116"/>
      <c r="FG71" s="116"/>
      <c r="FH71" s="116"/>
      <c r="FI71" s="116"/>
      <c r="FJ71" s="116"/>
      <c r="FK71" s="116"/>
      <c r="FL71" s="116"/>
      <c r="FM71" s="116"/>
      <c r="FN71" s="116"/>
      <c r="FO71" s="116"/>
      <c r="FP71" s="116"/>
      <c r="FQ71" s="116"/>
      <c r="FR71" s="116"/>
      <c r="FS71" s="116"/>
      <c r="FT71" s="116"/>
      <c r="FU71" s="116"/>
      <c r="FV71" s="116"/>
      <c r="FW71" s="116"/>
      <c r="FX71" s="116"/>
      <c r="FY71" s="116"/>
      <c r="FZ71" s="116"/>
      <c r="GA71" s="116"/>
      <c r="GB71" s="116"/>
      <c r="GC71" s="116"/>
      <c r="GD71" s="116"/>
      <c r="GE71" s="116"/>
      <c r="GF71" s="116"/>
      <c r="GG71" s="116"/>
      <c r="GH71" s="116"/>
      <c r="GI71" s="116"/>
      <c r="GJ71" s="116"/>
      <c r="GK71" s="116"/>
      <c r="GL71" s="116"/>
      <c r="GM71" s="116"/>
      <c r="GN71" s="116"/>
      <c r="GO71" s="116"/>
      <c r="GP71" s="116"/>
      <c r="GQ71" s="116"/>
      <c r="GR71" s="116"/>
      <c r="GS71" s="116"/>
      <c r="GT71" s="116"/>
      <c r="GU71" s="116"/>
      <c r="GV71" s="116"/>
      <c r="GW71" s="116"/>
      <c r="GX71" s="116"/>
      <c r="GY71" s="116"/>
      <c r="GZ71" s="116"/>
      <c r="HA71" s="116"/>
      <c r="HB71" s="116"/>
      <c r="HC71" s="116"/>
      <c r="HD71" s="116"/>
      <c r="HE71" s="116"/>
      <c r="HF71" s="116"/>
      <c r="HG71" s="116"/>
      <c r="HH71" s="116"/>
      <c r="HI71" s="116"/>
      <c r="HJ71" s="116"/>
      <c r="HK71" s="116"/>
      <c r="HL71" s="116"/>
      <c r="HM71" s="116"/>
      <c r="HN71" s="116"/>
      <c r="HO71" s="116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116"/>
      <c r="IA71" s="116"/>
      <c r="IB71" s="116"/>
      <c r="IC71" s="116"/>
      <c r="ID71" s="116"/>
      <c r="IE71" s="116"/>
      <c r="IF71" s="116"/>
      <c r="IG71" s="116"/>
      <c r="IH71" s="116"/>
      <c r="II71" s="116"/>
      <c r="IJ71" s="116"/>
      <c r="IK71" s="116"/>
      <c r="IL71" s="116"/>
      <c r="IM71" s="116"/>
      <c r="IN71" s="116"/>
      <c r="IO71" s="116"/>
      <c r="IP71" s="116"/>
      <c r="IQ71" s="116"/>
      <c r="IR71" s="116"/>
      <c r="IS71" s="116"/>
      <c r="IT71" s="116"/>
      <c r="IU71" s="116"/>
      <c r="IV71" s="116"/>
      <c r="IW71" s="116"/>
      <c r="IX71" s="116"/>
      <c r="IY71" s="116"/>
      <c r="IZ71" s="116"/>
    </row>
    <row r="72" spans="2:260" x14ac:dyDescent="0.3">
      <c r="B72" s="115"/>
      <c r="C72" s="132"/>
      <c r="D72" s="135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  <c r="DM72" s="116"/>
      <c r="DN72" s="116"/>
      <c r="DO72" s="116"/>
      <c r="DP72" s="116"/>
      <c r="DQ72" s="116"/>
      <c r="DR72" s="116"/>
      <c r="DS72" s="116"/>
      <c r="DT72" s="116"/>
      <c r="DU72" s="116"/>
      <c r="DV72" s="116"/>
      <c r="DW72" s="116"/>
      <c r="DX72" s="116"/>
      <c r="DY72" s="116"/>
      <c r="DZ72" s="116"/>
      <c r="EA72" s="116"/>
      <c r="EB72" s="116"/>
      <c r="EC72" s="116"/>
      <c r="ED72" s="116"/>
      <c r="EE72" s="116"/>
      <c r="EF72" s="116"/>
      <c r="EG72" s="116"/>
      <c r="EH72" s="116"/>
      <c r="EI72" s="116"/>
      <c r="EJ72" s="116"/>
      <c r="EK72" s="116"/>
      <c r="EL72" s="116"/>
      <c r="EM72" s="116"/>
      <c r="EN72" s="116"/>
      <c r="EO72" s="116"/>
      <c r="EP72" s="116"/>
      <c r="EQ72" s="116"/>
      <c r="ER72" s="116"/>
      <c r="ES72" s="116"/>
      <c r="ET72" s="116"/>
      <c r="EU72" s="116"/>
      <c r="EV72" s="116"/>
      <c r="EW72" s="116"/>
      <c r="EX72" s="116"/>
      <c r="EY72" s="116"/>
      <c r="EZ72" s="116"/>
      <c r="FA72" s="116"/>
      <c r="FB72" s="116"/>
      <c r="FC72" s="116"/>
      <c r="FD72" s="116"/>
      <c r="FE72" s="116"/>
      <c r="FF72" s="116"/>
      <c r="FG72" s="116"/>
      <c r="FH72" s="116"/>
      <c r="FI72" s="116"/>
      <c r="FJ72" s="116"/>
      <c r="FK72" s="116"/>
      <c r="FL72" s="116"/>
      <c r="FM72" s="116"/>
      <c r="FN72" s="116"/>
      <c r="FO72" s="116"/>
      <c r="FP72" s="116"/>
      <c r="FQ72" s="116"/>
      <c r="FR72" s="116"/>
      <c r="FS72" s="116"/>
      <c r="FT72" s="116"/>
      <c r="FU72" s="116"/>
      <c r="FV72" s="116"/>
      <c r="FW72" s="116"/>
      <c r="FX72" s="116"/>
      <c r="FY72" s="116"/>
      <c r="FZ72" s="116"/>
      <c r="GA72" s="116"/>
      <c r="GB72" s="116"/>
      <c r="GC72" s="116"/>
      <c r="GD72" s="116"/>
      <c r="GE72" s="116"/>
      <c r="GF72" s="116"/>
      <c r="GG72" s="116"/>
      <c r="GH72" s="116"/>
      <c r="GI72" s="116"/>
      <c r="GJ72" s="116"/>
      <c r="GK72" s="116"/>
      <c r="GL72" s="116"/>
      <c r="GM72" s="116"/>
      <c r="GN72" s="116"/>
      <c r="GO72" s="116"/>
      <c r="GP72" s="116"/>
      <c r="GQ72" s="116"/>
      <c r="GR72" s="116"/>
      <c r="GS72" s="116"/>
      <c r="GT72" s="116"/>
      <c r="GU72" s="116"/>
      <c r="GV72" s="116"/>
      <c r="GW72" s="116"/>
      <c r="GX72" s="116"/>
      <c r="GY72" s="116"/>
      <c r="GZ72" s="116"/>
      <c r="HA72" s="116"/>
      <c r="HB72" s="116"/>
      <c r="HC72" s="116"/>
      <c r="HD72" s="116"/>
      <c r="HE72" s="116"/>
      <c r="HF72" s="116"/>
      <c r="HG72" s="116"/>
      <c r="HH72" s="116"/>
      <c r="HI72" s="116"/>
      <c r="HJ72" s="116"/>
      <c r="HK72" s="116"/>
      <c r="HL72" s="116"/>
      <c r="HM72" s="116"/>
      <c r="HN72" s="116"/>
      <c r="HO72" s="116"/>
      <c r="HP72" s="116"/>
      <c r="HQ72" s="116"/>
      <c r="HR72" s="116"/>
      <c r="HS72" s="116"/>
      <c r="HT72" s="116"/>
      <c r="HU72" s="116"/>
      <c r="HV72" s="116"/>
      <c r="HW72" s="116"/>
      <c r="HX72" s="116"/>
      <c r="HY72" s="116"/>
      <c r="HZ72" s="116"/>
      <c r="IA72" s="116"/>
      <c r="IB72" s="116"/>
      <c r="IC72" s="116"/>
      <c r="ID72" s="116"/>
      <c r="IE72" s="116"/>
      <c r="IF72" s="116"/>
      <c r="IG72" s="116"/>
      <c r="IH72" s="116"/>
      <c r="II72" s="116"/>
      <c r="IJ72" s="116"/>
      <c r="IK72" s="116"/>
      <c r="IL72" s="116"/>
      <c r="IM72" s="116"/>
      <c r="IN72" s="116"/>
      <c r="IO72" s="116"/>
      <c r="IP72" s="116"/>
      <c r="IQ72" s="116"/>
      <c r="IR72" s="116"/>
      <c r="IS72" s="116"/>
      <c r="IT72" s="116"/>
      <c r="IU72" s="116"/>
      <c r="IV72" s="116"/>
      <c r="IW72" s="116"/>
      <c r="IX72" s="116"/>
      <c r="IY72" s="116"/>
      <c r="IZ72" s="116"/>
    </row>
    <row r="73" spans="2:260" x14ac:dyDescent="0.3">
      <c r="B73" s="370" t="s">
        <v>159</v>
      </c>
      <c r="C73" s="370"/>
      <c r="D73" s="135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  <c r="DM73" s="116"/>
      <c r="DN73" s="116"/>
      <c r="DO73" s="116"/>
      <c r="DP73" s="116"/>
      <c r="DQ73" s="116"/>
      <c r="DR73" s="116"/>
      <c r="DS73" s="116"/>
      <c r="DT73" s="116"/>
      <c r="DU73" s="116"/>
      <c r="DV73" s="116"/>
      <c r="DW73" s="116"/>
      <c r="DX73" s="116"/>
      <c r="DY73" s="116"/>
      <c r="DZ73" s="116"/>
      <c r="EA73" s="116"/>
      <c r="EB73" s="116"/>
      <c r="EC73" s="116"/>
      <c r="ED73" s="116"/>
      <c r="EE73" s="116"/>
      <c r="EF73" s="116"/>
      <c r="EG73" s="116"/>
      <c r="EH73" s="116"/>
      <c r="EI73" s="116"/>
      <c r="EJ73" s="116"/>
      <c r="EK73" s="116"/>
      <c r="EL73" s="116"/>
      <c r="EM73" s="116"/>
      <c r="EN73" s="116"/>
      <c r="EO73" s="116"/>
      <c r="EP73" s="116"/>
      <c r="EQ73" s="116"/>
      <c r="ER73" s="116"/>
      <c r="ES73" s="116"/>
      <c r="ET73" s="116"/>
      <c r="EU73" s="116"/>
      <c r="EV73" s="116"/>
      <c r="EW73" s="116"/>
      <c r="EX73" s="116"/>
      <c r="EY73" s="116"/>
      <c r="EZ73" s="116"/>
      <c r="FA73" s="116"/>
      <c r="FB73" s="116"/>
      <c r="FC73" s="116"/>
      <c r="FD73" s="116"/>
      <c r="FE73" s="116"/>
      <c r="FF73" s="116"/>
      <c r="FG73" s="116"/>
      <c r="FH73" s="116"/>
      <c r="FI73" s="116"/>
      <c r="FJ73" s="116"/>
      <c r="FK73" s="116"/>
      <c r="FL73" s="116"/>
      <c r="FM73" s="116"/>
      <c r="FN73" s="116"/>
      <c r="FO73" s="116"/>
      <c r="FP73" s="116"/>
      <c r="FQ73" s="116"/>
      <c r="FR73" s="116"/>
      <c r="FS73" s="116"/>
      <c r="FT73" s="116"/>
      <c r="FU73" s="116"/>
      <c r="FV73" s="116"/>
      <c r="FW73" s="116"/>
      <c r="FX73" s="116"/>
      <c r="FY73" s="116"/>
      <c r="FZ73" s="116"/>
      <c r="GA73" s="116"/>
      <c r="GB73" s="116"/>
      <c r="GC73" s="116"/>
      <c r="GD73" s="116"/>
      <c r="GE73" s="116"/>
      <c r="GF73" s="116"/>
      <c r="GG73" s="116"/>
      <c r="GH73" s="116"/>
      <c r="GI73" s="116"/>
      <c r="GJ73" s="116"/>
      <c r="GK73" s="116"/>
      <c r="GL73" s="116"/>
      <c r="GM73" s="116"/>
      <c r="GN73" s="116"/>
      <c r="GO73" s="116"/>
      <c r="GP73" s="116"/>
      <c r="GQ73" s="116"/>
      <c r="GR73" s="116"/>
      <c r="GS73" s="116"/>
      <c r="GT73" s="116"/>
      <c r="GU73" s="116"/>
      <c r="GV73" s="116"/>
      <c r="GW73" s="116"/>
      <c r="GX73" s="116"/>
      <c r="GY73" s="116"/>
      <c r="GZ73" s="116"/>
      <c r="HA73" s="116"/>
      <c r="HB73" s="116"/>
      <c r="HC73" s="116"/>
      <c r="HD73" s="116"/>
      <c r="HE73" s="116"/>
      <c r="HF73" s="116"/>
      <c r="HG73" s="116"/>
      <c r="HH73" s="116"/>
      <c r="HI73" s="116"/>
      <c r="HJ73" s="116"/>
      <c r="HK73" s="116"/>
      <c r="HL73" s="116"/>
      <c r="HM73" s="116"/>
      <c r="HN73" s="116"/>
      <c r="HO73" s="116"/>
      <c r="HP73" s="116"/>
      <c r="HQ73" s="116"/>
      <c r="HR73" s="116"/>
      <c r="HS73" s="116"/>
      <c r="HT73" s="116"/>
      <c r="HU73" s="116"/>
      <c r="HV73" s="116"/>
      <c r="HW73" s="116"/>
      <c r="HX73" s="116"/>
      <c r="HY73" s="116"/>
      <c r="HZ73" s="116"/>
      <c r="IA73" s="116"/>
      <c r="IB73" s="116"/>
      <c r="IC73" s="116"/>
      <c r="ID73" s="116"/>
      <c r="IE73" s="116"/>
      <c r="IF73" s="116"/>
      <c r="IG73" s="116"/>
      <c r="IH73" s="116"/>
      <c r="II73" s="116"/>
      <c r="IJ73" s="116"/>
      <c r="IK73" s="116"/>
      <c r="IL73" s="116"/>
      <c r="IM73" s="116"/>
      <c r="IN73" s="116"/>
      <c r="IO73" s="116"/>
      <c r="IP73" s="116"/>
      <c r="IQ73" s="116"/>
      <c r="IR73" s="116"/>
      <c r="IS73" s="116"/>
      <c r="IT73" s="116"/>
      <c r="IU73" s="116"/>
      <c r="IV73" s="116"/>
      <c r="IW73" s="116"/>
      <c r="IX73" s="116"/>
      <c r="IY73" s="116"/>
      <c r="IZ73" s="116"/>
    </row>
    <row r="74" spans="2:260" x14ac:dyDescent="0.3">
      <c r="B74" s="377" t="s">
        <v>160</v>
      </c>
      <c r="C74" s="377"/>
      <c r="D74" s="135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  <c r="DM74" s="116"/>
      <c r="DN74" s="116"/>
      <c r="DO74" s="116"/>
      <c r="DP74" s="116"/>
      <c r="DQ74" s="116"/>
      <c r="DR74" s="116"/>
      <c r="DS74" s="116"/>
      <c r="DT74" s="116"/>
      <c r="DU74" s="116"/>
      <c r="DV74" s="116"/>
      <c r="DW74" s="116"/>
      <c r="DX74" s="116"/>
      <c r="DY74" s="116"/>
      <c r="DZ74" s="116"/>
      <c r="EA74" s="116"/>
      <c r="EB74" s="116"/>
      <c r="EC74" s="116"/>
      <c r="ED74" s="116"/>
      <c r="EE74" s="116"/>
      <c r="EF74" s="116"/>
      <c r="EG74" s="116"/>
      <c r="EH74" s="116"/>
      <c r="EI74" s="116"/>
      <c r="EJ74" s="116"/>
      <c r="EK74" s="116"/>
      <c r="EL74" s="116"/>
      <c r="EM74" s="116"/>
      <c r="EN74" s="116"/>
      <c r="EO74" s="116"/>
      <c r="EP74" s="116"/>
      <c r="EQ74" s="116"/>
      <c r="ER74" s="116"/>
      <c r="ES74" s="116"/>
      <c r="ET74" s="116"/>
      <c r="EU74" s="116"/>
      <c r="EV74" s="116"/>
      <c r="EW74" s="116"/>
      <c r="EX74" s="116"/>
      <c r="EY74" s="116"/>
      <c r="EZ74" s="116"/>
      <c r="FA74" s="116"/>
      <c r="FB74" s="116"/>
      <c r="FC74" s="116"/>
      <c r="FD74" s="116"/>
      <c r="FE74" s="116"/>
      <c r="FF74" s="116"/>
      <c r="FG74" s="116"/>
      <c r="FH74" s="116"/>
      <c r="FI74" s="116"/>
      <c r="FJ74" s="116"/>
      <c r="FK74" s="116"/>
      <c r="FL74" s="116"/>
      <c r="FM74" s="116"/>
      <c r="FN74" s="116"/>
      <c r="FO74" s="116"/>
      <c r="FP74" s="116"/>
      <c r="FQ74" s="116"/>
      <c r="FR74" s="116"/>
      <c r="FS74" s="116"/>
      <c r="FT74" s="116"/>
      <c r="FU74" s="116"/>
      <c r="FV74" s="116"/>
      <c r="FW74" s="116"/>
      <c r="FX74" s="116"/>
      <c r="FY74" s="116"/>
      <c r="FZ74" s="116"/>
      <c r="GA74" s="116"/>
      <c r="GB74" s="116"/>
      <c r="GC74" s="116"/>
      <c r="GD74" s="116"/>
      <c r="GE74" s="116"/>
      <c r="GF74" s="116"/>
      <c r="GG74" s="116"/>
      <c r="GH74" s="116"/>
      <c r="GI74" s="116"/>
      <c r="GJ74" s="116"/>
      <c r="GK74" s="116"/>
      <c r="GL74" s="116"/>
      <c r="GM74" s="116"/>
      <c r="GN74" s="116"/>
      <c r="GO74" s="116"/>
      <c r="GP74" s="116"/>
      <c r="GQ74" s="116"/>
      <c r="GR74" s="116"/>
      <c r="GS74" s="116"/>
      <c r="GT74" s="116"/>
      <c r="GU74" s="116"/>
      <c r="GV74" s="116"/>
      <c r="GW74" s="116"/>
      <c r="GX74" s="116"/>
      <c r="GY74" s="116"/>
      <c r="GZ74" s="116"/>
      <c r="HA74" s="116"/>
      <c r="HB74" s="116"/>
      <c r="HC74" s="116"/>
      <c r="HD74" s="116"/>
      <c r="HE74" s="116"/>
      <c r="HF74" s="116"/>
      <c r="HG74" s="116"/>
      <c r="HH74" s="116"/>
      <c r="HI74" s="116"/>
      <c r="HJ74" s="116"/>
      <c r="HK74" s="116"/>
      <c r="HL74" s="116"/>
      <c r="HM74" s="116"/>
      <c r="HN74" s="116"/>
      <c r="HO74" s="116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116"/>
      <c r="IA74" s="116"/>
      <c r="IB74" s="116"/>
      <c r="IC74" s="116"/>
      <c r="ID74" s="116"/>
      <c r="IE74" s="116"/>
      <c r="IF74" s="116"/>
      <c r="IG74" s="116"/>
      <c r="IH74" s="116"/>
      <c r="II74" s="116"/>
      <c r="IJ74" s="116"/>
      <c r="IK74" s="116"/>
      <c r="IL74" s="116"/>
      <c r="IM74" s="116"/>
      <c r="IN74" s="116"/>
      <c r="IO74" s="116"/>
      <c r="IP74" s="116"/>
      <c r="IQ74" s="116"/>
      <c r="IR74" s="116"/>
      <c r="IS74" s="116"/>
      <c r="IT74" s="116"/>
      <c r="IU74" s="116"/>
      <c r="IV74" s="116"/>
      <c r="IW74" s="116"/>
      <c r="IX74" s="116"/>
      <c r="IY74" s="116"/>
      <c r="IZ74" s="116"/>
    </row>
    <row r="75" spans="2:260" x14ac:dyDescent="0.3">
      <c r="B75" s="133" t="s">
        <v>161</v>
      </c>
      <c r="C75" s="187">
        <v>0.35</v>
      </c>
      <c r="D75" s="135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  <c r="DM75" s="116"/>
      <c r="DN75" s="116"/>
      <c r="DO75" s="116"/>
      <c r="DP75" s="116"/>
      <c r="DQ75" s="116"/>
      <c r="DR75" s="116"/>
      <c r="DS75" s="116"/>
      <c r="DT75" s="116"/>
      <c r="DU75" s="116"/>
      <c r="DV75" s="116"/>
      <c r="DW75" s="116"/>
      <c r="DX75" s="116"/>
      <c r="DY75" s="116"/>
      <c r="DZ75" s="116"/>
      <c r="EA75" s="116"/>
      <c r="EB75" s="116"/>
      <c r="EC75" s="116"/>
      <c r="ED75" s="116"/>
      <c r="EE75" s="116"/>
      <c r="EF75" s="116"/>
      <c r="EG75" s="116"/>
      <c r="EH75" s="116"/>
      <c r="EI75" s="116"/>
      <c r="EJ75" s="116"/>
      <c r="EK75" s="116"/>
      <c r="EL75" s="116"/>
      <c r="EM75" s="116"/>
      <c r="EN75" s="116"/>
      <c r="EO75" s="116"/>
      <c r="EP75" s="116"/>
      <c r="EQ75" s="116"/>
      <c r="ER75" s="116"/>
      <c r="ES75" s="116"/>
      <c r="ET75" s="116"/>
      <c r="EU75" s="116"/>
      <c r="EV75" s="116"/>
      <c r="EW75" s="116"/>
      <c r="EX75" s="116"/>
      <c r="EY75" s="116"/>
      <c r="EZ75" s="116"/>
      <c r="FA75" s="116"/>
      <c r="FB75" s="116"/>
      <c r="FC75" s="116"/>
      <c r="FD75" s="116"/>
      <c r="FE75" s="116"/>
      <c r="FF75" s="116"/>
      <c r="FG75" s="116"/>
      <c r="FH75" s="116"/>
      <c r="FI75" s="116"/>
      <c r="FJ75" s="116"/>
      <c r="FK75" s="116"/>
      <c r="FL75" s="116"/>
      <c r="FM75" s="116"/>
      <c r="FN75" s="116"/>
      <c r="FO75" s="116"/>
      <c r="FP75" s="116"/>
      <c r="FQ75" s="116"/>
      <c r="FR75" s="116"/>
      <c r="FS75" s="116"/>
      <c r="FT75" s="116"/>
      <c r="FU75" s="116"/>
      <c r="FV75" s="116"/>
      <c r="FW75" s="116"/>
      <c r="FX75" s="116"/>
      <c r="FY75" s="116"/>
      <c r="FZ75" s="116"/>
      <c r="GA75" s="116"/>
      <c r="GB75" s="116"/>
      <c r="GC75" s="116"/>
      <c r="GD75" s="116"/>
      <c r="GE75" s="116"/>
      <c r="GF75" s="116"/>
      <c r="GG75" s="116"/>
      <c r="GH75" s="116"/>
      <c r="GI75" s="116"/>
      <c r="GJ75" s="116"/>
      <c r="GK75" s="116"/>
      <c r="GL75" s="116"/>
      <c r="GM75" s="116"/>
      <c r="GN75" s="116"/>
      <c r="GO75" s="116"/>
      <c r="GP75" s="116"/>
      <c r="GQ75" s="116"/>
      <c r="GR75" s="116"/>
      <c r="GS75" s="116"/>
      <c r="GT75" s="116"/>
      <c r="GU75" s="116"/>
      <c r="GV75" s="116"/>
      <c r="GW75" s="116"/>
      <c r="GX75" s="116"/>
      <c r="GY75" s="116"/>
      <c r="GZ75" s="116"/>
      <c r="HA75" s="116"/>
      <c r="HB75" s="116"/>
      <c r="HC75" s="116"/>
      <c r="HD75" s="116"/>
      <c r="HE75" s="116"/>
      <c r="HF75" s="116"/>
      <c r="HG75" s="116"/>
      <c r="HH75" s="116"/>
      <c r="HI75" s="116"/>
      <c r="HJ75" s="116"/>
      <c r="HK75" s="116"/>
      <c r="HL75" s="116"/>
      <c r="HM75" s="116"/>
      <c r="HN75" s="116"/>
      <c r="HO75" s="116"/>
      <c r="HP75" s="116"/>
      <c r="HQ75" s="116"/>
      <c r="HR75" s="116"/>
      <c r="HS75" s="116"/>
      <c r="HT75" s="116"/>
      <c r="HU75" s="116"/>
      <c r="HV75" s="116"/>
      <c r="HW75" s="116"/>
      <c r="HX75" s="116"/>
      <c r="HY75" s="116"/>
      <c r="HZ75" s="116"/>
      <c r="IA75" s="116"/>
      <c r="IB75" s="116"/>
      <c r="IC75" s="116"/>
      <c r="ID75" s="116"/>
      <c r="IE75" s="116"/>
      <c r="IF75" s="116"/>
      <c r="IG75" s="116"/>
      <c r="IH75" s="116"/>
      <c r="II75" s="116"/>
      <c r="IJ75" s="116"/>
      <c r="IK75" s="116"/>
      <c r="IL75" s="116"/>
      <c r="IM75" s="116"/>
      <c r="IN75" s="116"/>
      <c r="IO75" s="116"/>
      <c r="IP75" s="116"/>
      <c r="IQ75" s="116"/>
      <c r="IR75" s="116"/>
      <c r="IS75" s="116"/>
      <c r="IT75" s="116"/>
      <c r="IU75" s="116"/>
      <c r="IV75" s="116"/>
      <c r="IW75" s="116"/>
      <c r="IX75" s="116"/>
      <c r="IY75" s="116"/>
      <c r="IZ75" s="116"/>
    </row>
    <row r="76" spans="2:260" x14ac:dyDescent="0.3">
      <c r="B76" s="115"/>
      <c r="C76" s="132"/>
      <c r="D76" s="135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116"/>
      <c r="DJ76" s="116"/>
      <c r="DK76" s="116"/>
      <c r="DL76" s="116"/>
      <c r="DM76" s="116"/>
      <c r="DN76" s="116"/>
      <c r="DO76" s="116"/>
      <c r="DP76" s="116"/>
      <c r="DQ76" s="116"/>
      <c r="DR76" s="116"/>
      <c r="DS76" s="116"/>
      <c r="DT76" s="116"/>
      <c r="DU76" s="116"/>
      <c r="DV76" s="116"/>
      <c r="DW76" s="116"/>
      <c r="DX76" s="116"/>
      <c r="DY76" s="116"/>
      <c r="DZ76" s="116"/>
      <c r="EA76" s="116"/>
      <c r="EB76" s="116"/>
      <c r="EC76" s="116"/>
      <c r="ED76" s="116"/>
      <c r="EE76" s="116"/>
      <c r="EF76" s="116"/>
      <c r="EG76" s="116"/>
      <c r="EH76" s="116"/>
      <c r="EI76" s="116"/>
      <c r="EJ76" s="116"/>
      <c r="EK76" s="116"/>
      <c r="EL76" s="116"/>
      <c r="EM76" s="116"/>
      <c r="EN76" s="116"/>
      <c r="EO76" s="116"/>
      <c r="EP76" s="116"/>
      <c r="EQ76" s="116"/>
      <c r="ER76" s="116"/>
      <c r="ES76" s="116"/>
      <c r="ET76" s="116"/>
      <c r="EU76" s="116"/>
      <c r="EV76" s="116"/>
      <c r="EW76" s="116"/>
      <c r="EX76" s="116"/>
      <c r="EY76" s="116"/>
      <c r="EZ76" s="116"/>
      <c r="FA76" s="116"/>
      <c r="FB76" s="116"/>
      <c r="FC76" s="116"/>
      <c r="FD76" s="116"/>
      <c r="FE76" s="116"/>
      <c r="FF76" s="116"/>
      <c r="FG76" s="116"/>
      <c r="FH76" s="116"/>
      <c r="FI76" s="116"/>
      <c r="FJ76" s="116"/>
      <c r="FK76" s="116"/>
      <c r="FL76" s="116"/>
      <c r="FM76" s="116"/>
      <c r="FN76" s="116"/>
      <c r="FO76" s="116"/>
      <c r="FP76" s="116"/>
      <c r="FQ76" s="116"/>
      <c r="FR76" s="116"/>
      <c r="FS76" s="116"/>
      <c r="FT76" s="116"/>
      <c r="FU76" s="116"/>
      <c r="FV76" s="116"/>
      <c r="FW76" s="116"/>
      <c r="FX76" s="116"/>
      <c r="FY76" s="116"/>
      <c r="FZ76" s="116"/>
      <c r="GA76" s="116"/>
      <c r="GB76" s="116"/>
      <c r="GC76" s="116"/>
      <c r="GD76" s="116"/>
      <c r="GE76" s="116"/>
      <c r="GF76" s="116"/>
      <c r="GG76" s="116"/>
      <c r="GH76" s="116"/>
      <c r="GI76" s="116"/>
      <c r="GJ76" s="116"/>
      <c r="GK76" s="116"/>
      <c r="GL76" s="116"/>
      <c r="GM76" s="116"/>
      <c r="GN76" s="116"/>
      <c r="GO76" s="116"/>
      <c r="GP76" s="116"/>
      <c r="GQ76" s="116"/>
      <c r="GR76" s="116"/>
      <c r="GS76" s="116"/>
      <c r="GT76" s="116"/>
      <c r="GU76" s="116"/>
      <c r="GV76" s="116"/>
      <c r="GW76" s="116"/>
      <c r="GX76" s="116"/>
      <c r="GY76" s="116"/>
      <c r="GZ76" s="116"/>
      <c r="HA76" s="116"/>
      <c r="HB76" s="116"/>
      <c r="HC76" s="116"/>
      <c r="HD76" s="116"/>
      <c r="HE76" s="116"/>
      <c r="HF76" s="116"/>
      <c r="HG76" s="116"/>
      <c r="HH76" s="116"/>
      <c r="HI76" s="116"/>
      <c r="HJ76" s="116"/>
      <c r="HK76" s="116"/>
      <c r="HL76" s="116"/>
      <c r="HM76" s="116"/>
      <c r="HN76" s="116"/>
      <c r="HO76" s="116"/>
      <c r="HP76" s="116"/>
      <c r="HQ76" s="116"/>
      <c r="HR76" s="116"/>
      <c r="HS76" s="116"/>
      <c r="HT76" s="116"/>
      <c r="HU76" s="116"/>
      <c r="HV76" s="116"/>
      <c r="HW76" s="116"/>
      <c r="HX76" s="116"/>
      <c r="HY76" s="116"/>
      <c r="HZ76" s="116"/>
      <c r="IA76" s="116"/>
      <c r="IB76" s="116"/>
      <c r="IC76" s="116"/>
      <c r="ID76" s="116"/>
      <c r="IE76" s="116"/>
      <c r="IF76" s="116"/>
      <c r="IG76" s="116"/>
      <c r="IH76" s="116"/>
      <c r="II76" s="116"/>
      <c r="IJ76" s="116"/>
      <c r="IK76" s="116"/>
      <c r="IL76" s="116"/>
      <c r="IM76" s="116"/>
      <c r="IN76" s="116"/>
      <c r="IO76" s="116"/>
      <c r="IP76" s="116"/>
      <c r="IQ76" s="116"/>
      <c r="IR76" s="116"/>
      <c r="IS76" s="116"/>
      <c r="IT76" s="116"/>
      <c r="IU76" s="116"/>
      <c r="IV76" s="116"/>
      <c r="IW76" s="116"/>
      <c r="IX76" s="116"/>
      <c r="IY76" s="116"/>
      <c r="IZ76" s="116"/>
    </row>
    <row r="77" spans="2:260" x14ac:dyDescent="0.3">
      <c r="B77" s="370" t="s">
        <v>162</v>
      </c>
      <c r="C77" s="370"/>
      <c r="D77" s="135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  <c r="DM77" s="116"/>
      <c r="DN77" s="116"/>
      <c r="DO77" s="116"/>
      <c r="DP77" s="116"/>
      <c r="DQ77" s="116"/>
      <c r="DR77" s="116"/>
      <c r="DS77" s="116"/>
      <c r="DT77" s="116"/>
      <c r="DU77" s="116"/>
      <c r="DV77" s="116"/>
      <c r="DW77" s="116"/>
      <c r="DX77" s="116"/>
      <c r="DY77" s="116"/>
      <c r="DZ77" s="116"/>
      <c r="EA77" s="116"/>
      <c r="EB77" s="116"/>
      <c r="EC77" s="116"/>
      <c r="ED77" s="116"/>
      <c r="EE77" s="116"/>
      <c r="EF77" s="116"/>
      <c r="EG77" s="116"/>
      <c r="EH77" s="116"/>
      <c r="EI77" s="116"/>
      <c r="EJ77" s="116"/>
      <c r="EK77" s="116"/>
      <c r="EL77" s="116"/>
      <c r="EM77" s="116"/>
      <c r="EN77" s="116"/>
      <c r="EO77" s="116"/>
      <c r="EP77" s="116"/>
      <c r="EQ77" s="116"/>
      <c r="ER77" s="116"/>
      <c r="ES77" s="116"/>
      <c r="ET77" s="116"/>
      <c r="EU77" s="116"/>
      <c r="EV77" s="116"/>
      <c r="EW77" s="116"/>
      <c r="EX77" s="116"/>
      <c r="EY77" s="116"/>
      <c r="EZ77" s="116"/>
      <c r="FA77" s="116"/>
      <c r="FB77" s="116"/>
      <c r="FC77" s="116"/>
      <c r="FD77" s="116"/>
      <c r="FE77" s="116"/>
      <c r="FF77" s="116"/>
      <c r="FG77" s="116"/>
      <c r="FH77" s="116"/>
      <c r="FI77" s="116"/>
      <c r="FJ77" s="116"/>
      <c r="FK77" s="116"/>
      <c r="FL77" s="116"/>
      <c r="FM77" s="116"/>
      <c r="FN77" s="116"/>
      <c r="FO77" s="116"/>
      <c r="FP77" s="116"/>
      <c r="FQ77" s="116"/>
      <c r="FR77" s="116"/>
      <c r="FS77" s="116"/>
      <c r="FT77" s="116"/>
      <c r="FU77" s="116"/>
      <c r="FV77" s="116"/>
      <c r="FW77" s="116"/>
      <c r="FX77" s="116"/>
      <c r="FY77" s="116"/>
      <c r="FZ77" s="116"/>
      <c r="GA77" s="116"/>
      <c r="GB77" s="116"/>
      <c r="GC77" s="116"/>
      <c r="GD77" s="116"/>
      <c r="GE77" s="116"/>
      <c r="GF77" s="116"/>
      <c r="GG77" s="116"/>
      <c r="GH77" s="116"/>
      <c r="GI77" s="116"/>
      <c r="GJ77" s="116"/>
      <c r="GK77" s="116"/>
      <c r="GL77" s="116"/>
      <c r="GM77" s="116"/>
      <c r="GN77" s="116"/>
      <c r="GO77" s="116"/>
      <c r="GP77" s="116"/>
      <c r="GQ77" s="116"/>
      <c r="GR77" s="116"/>
      <c r="GS77" s="116"/>
      <c r="GT77" s="116"/>
      <c r="GU77" s="116"/>
      <c r="GV77" s="116"/>
      <c r="GW77" s="116"/>
      <c r="GX77" s="116"/>
      <c r="GY77" s="116"/>
      <c r="GZ77" s="116"/>
      <c r="HA77" s="116"/>
      <c r="HB77" s="116"/>
      <c r="HC77" s="116"/>
      <c r="HD77" s="116"/>
      <c r="HE77" s="116"/>
      <c r="HF77" s="116"/>
      <c r="HG77" s="116"/>
      <c r="HH77" s="116"/>
      <c r="HI77" s="116"/>
      <c r="HJ77" s="116"/>
      <c r="HK77" s="116"/>
      <c r="HL77" s="116"/>
      <c r="HM77" s="116"/>
      <c r="HN77" s="116"/>
      <c r="HO77" s="116"/>
      <c r="HP77" s="116"/>
      <c r="HQ77" s="116"/>
      <c r="HR77" s="116"/>
      <c r="HS77" s="116"/>
      <c r="HT77" s="116"/>
      <c r="HU77" s="116"/>
      <c r="HV77" s="116"/>
      <c r="HW77" s="116"/>
      <c r="HX77" s="116"/>
      <c r="HY77" s="116"/>
      <c r="HZ77" s="116"/>
      <c r="IA77" s="116"/>
      <c r="IB77" s="116"/>
      <c r="IC77" s="116"/>
      <c r="ID77" s="116"/>
      <c r="IE77" s="116"/>
      <c r="IF77" s="116"/>
      <c r="IG77" s="116"/>
      <c r="IH77" s="116"/>
      <c r="II77" s="116"/>
      <c r="IJ77" s="116"/>
      <c r="IK77" s="116"/>
      <c r="IL77" s="116"/>
      <c r="IM77" s="116"/>
      <c r="IN77" s="116"/>
      <c r="IO77" s="116"/>
      <c r="IP77" s="116"/>
      <c r="IQ77" s="116"/>
      <c r="IR77" s="116"/>
      <c r="IS77" s="116"/>
      <c r="IT77" s="116"/>
      <c r="IU77" s="116"/>
      <c r="IV77" s="116"/>
      <c r="IW77" s="116"/>
      <c r="IX77" s="116"/>
      <c r="IY77" s="116"/>
      <c r="IZ77" s="116"/>
    </row>
    <row r="78" spans="2:260" x14ac:dyDescent="0.3">
      <c r="B78" s="377" t="s">
        <v>163</v>
      </c>
      <c r="C78" s="377"/>
      <c r="D78" s="135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  <c r="DM78" s="116"/>
      <c r="DN78" s="116"/>
      <c r="DO78" s="116"/>
      <c r="DP78" s="116"/>
      <c r="DQ78" s="116"/>
      <c r="DR78" s="116"/>
      <c r="DS78" s="116"/>
      <c r="DT78" s="116"/>
      <c r="DU78" s="116"/>
      <c r="DV78" s="116"/>
      <c r="DW78" s="116"/>
      <c r="DX78" s="116"/>
      <c r="DY78" s="116"/>
      <c r="DZ78" s="116"/>
      <c r="EA78" s="116"/>
      <c r="EB78" s="116"/>
      <c r="EC78" s="116"/>
      <c r="ED78" s="116"/>
      <c r="EE78" s="116"/>
      <c r="EF78" s="116"/>
      <c r="EG78" s="116"/>
      <c r="EH78" s="116"/>
      <c r="EI78" s="116"/>
      <c r="EJ78" s="116"/>
      <c r="EK78" s="116"/>
      <c r="EL78" s="116"/>
      <c r="EM78" s="116"/>
      <c r="EN78" s="116"/>
      <c r="EO78" s="116"/>
      <c r="EP78" s="116"/>
      <c r="EQ78" s="116"/>
      <c r="ER78" s="116"/>
      <c r="ES78" s="116"/>
      <c r="ET78" s="116"/>
      <c r="EU78" s="116"/>
      <c r="EV78" s="116"/>
      <c r="EW78" s="116"/>
      <c r="EX78" s="116"/>
      <c r="EY78" s="116"/>
      <c r="EZ78" s="116"/>
      <c r="FA78" s="116"/>
      <c r="FB78" s="116"/>
      <c r="FC78" s="116"/>
      <c r="FD78" s="116"/>
      <c r="FE78" s="116"/>
      <c r="FF78" s="116"/>
      <c r="FG78" s="116"/>
      <c r="FH78" s="116"/>
      <c r="FI78" s="116"/>
      <c r="FJ78" s="116"/>
      <c r="FK78" s="116"/>
      <c r="FL78" s="116"/>
      <c r="FM78" s="116"/>
      <c r="FN78" s="116"/>
      <c r="FO78" s="116"/>
      <c r="FP78" s="116"/>
      <c r="FQ78" s="116"/>
      <c r="FR78" s="116"/>
      <c r="FS78" s="116"/>
      <c r="FT78" s="116"/>
      <c r="FU78" s="116"/>
      <c r="FV78" s="116"/>
      <c r="FW78" s="116"/>
      <c r="FX78" s="116"/>
      <c r="FY78" s="116"/>
      <c r="FZ78" s="116"/>
      <c r="GA78" s="116"/>
      <c r="GB78" s="116"/>
      <c r="GC78" s="116"/>
      <c r="GD78" s="116"/>
      <c r="GE78" s="116"/>
      <c r="GF78" s="116"/>
      <c r="GG78" s="116"/>
      <c r="GH78" s="116"/>
      <c r="GI78" s="116"/>
      <c r="GJ78" s="116"/>
      <c r="GK78" s="116"/>
      <c r="GL78" s="116"/>
      <c r="GM78" s="116"/>
      <c r="GN78" s="116"/>
      <c r="GO78" s="116"/>
      <c r="GP78" s="116"/>
      <c r="GQ78" s="116"/>
      <c r="GR78" s="116"/>
      <c r="GS78" s="116"/>
      <c r="GT78" s="116"/>
      <c r="GU78" s="116"/>
      <c r="GV78" s="116"/>
      <c r="GW78" s="116"/>
      <c r="GX78" s="116"/>
      <c r="GY78" s="116"/>
      <c r="GZ78" s="116"/>
      <c r="HA78" s="116"/>
      <c r="HB78" s="116"/>
      <c r="HC78" s="116"/>
      <c r="HD78" s="116"/>
      <c r="HE78" s="116"/>
      <c r="HF78" s="116"/>
      <c r="HG78" s="116"/>
      <c r="HH78" s="116"/>
      <c r="HI78" s="116"/>
      <c r="HJ78" s="116"/>
      <c r="HK78" s="116"/>
      <c r="HL78" s="116"/>
      <c r="HM78" s="116"/>
      <c r="HN78" s="116"/>
      <c r="HO78" s="116"/>
      <c r="HP78" s="116"/>
      <c r="HQ78" s="116"/>
      <c r="HR78" s="116"/>
      <c r="HS78" s="116"/>
      <c r="HT78" s="116"/>
      <c r="HU78" s="116"/>
      <c r="HV78" s="116"/>
      <c r="HW78" s="116"/>
      <c r="HX78" s="116"/>
      <c r="HY78" s="116"/>
      <c r="HZ78" s="116"/>
      <c r="IA78" s="116"/>
      <c r="IB78" s="116"/>
      <c r="IC78" s="116"/>
      <c r="ID78" s="116"/>
      <c r="IE78" s="116"/>
      <c r="IF78" s="116"/>
      <c r="IG78" s="116"/>
      <c r="IH78" s="116"/>
      <c r="II78" s="116"/>
      <c r="IJ78" s="116"/>
      <c r="IK78" s="116"/>
      <c r="IL78" s="116"/>
      <c r="IM78" s="116"/>
      <c r="IN78" s="116"/>
      <c r="IO78" s="116"/>
      <c r="IP78" s="116"/>
      <c r="IQ78" s="116"/>
      <c r="IR78" s="116"/>
      <c r="IS78" s="116"/>
      <c r="IT78" s="116"/>
      <c r="IU78" s="116"/>
      <c r="IV78" s="116"/>
      <c r="IW78" s="116"/>
      <c r="IX78" s="116"/>
      <c r="IY78" s="116"/>
      <c r="IZ78" s="116"/>
    </row>
    <row r="79" spans="2:260" x14ac:dyDescent="0.3">
      <c r="B79" s="133" t="s">
        <v>164</v>
      </c>
      <c r="C79" s="187">
        <v>0.15</v>
      </c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  <c r="DM79" s="116"/>
      <c r="DN79" s="116"/>
      <c r="DO79" s="116"/>
      <c r="DP79" s="116"/>
      <c r="DQ79" s="116"/>
      <c r="DR79" s="116"/>
      <c r="DS79" s="116"/>
      <c r="DT79" s="116"/>
      <c r="DU79" s="116"/>
      <c r="DV79" s="116"/>
      <c r="DW79" s="116"/>
      <c r="DX79" s="116"/>
      <c r="DY79" s="116"/>
      <c r="DZ79" s="116"/>
      <c r="EA79" s="116"/>
      <c r="EB79" s="116"/>
      <c r="EC79" s="116"/>
      <c r="ED79" s="116"/>
      <c r="EE79" s="116"/>
      <c r="EF79" s="116"/>
      <c r="EG79" s="116"/>
      <c r="EH79" s="116"/>
      <c r="EI79" s="116"/>
      <c r="EJ79" s="116"/>
      <c r="EK79" s="116"/>
      <c r="EL79" s="116"/>
      <c r="EM79" s="116"/>
      <c r="EN79" s="116"/>
      <c r="EO79" s="116"/>
      <c r="EP79" s="116"/>
      <c r="EQ79" s="116"/>
      <c r="ER79" s="116"/>
      <c r="ES79" s="116"/>
      <c r="ET79" s="116"/>
      <c r="EU79" s="116"/>
      <c r="EV79" s="116"/>
      <c r="EW79" s="116"/>
      <c r="EX79" s="116"/>
      <c r="EY79" s="116"/>
      <c r="EZ79" s="116"/>
      <c r="FA79" s="116"/>
      <c r="FB79" s="116"/>
      <c r="FC79" s="116"/>
      <c r="FD79" s="116"/>
      <c r="FE79" s="116"/>
      <c r="FF79" s="116"/>
      <c r="FG79" s="116"/>
      <c r="FH79" s="116"/>
      <c r="FI79" s="116"/>
      <c r="FJ79" s="116"/>
      <c r="FK79" s="116"/>
      <c r="FL79" s="116"/>
      <c r="FM79" s="116"/>
      <c r="FN79" s="116"/>
      <c r="FO79" s="116"/>
      <c r="FP79" s="116"/>
      <c r="FQ79" s="116"/>
      <c r="FR79" s="116"/>
      <c r="FS79" s="116"/>
      <c r="FT79" s="116"/>
      <c r="FU79" s="116"/>
      <c r="FV79" s="116"/>
      <c r="FW79" s="116"/>
      <c r="FX79" s="116"/>
      <c r="FY79" s="116"/>
      <c r="FZ79" s="116"/>
      <c r="GA79" s="116"/>
      <c r="GB79" s="116"/>
      <c r="GC79" s="116"/>
      <c r="GD79" s="116"/>
      <c r="GE79" s="116"/>
      <c r="GF79" s="116"/>
      <c r="GG79" s="116"/>
      <c r="GH79" s="116"/>
      <c r="GI79" s="116"/>
      <c r="GJ79" s="116"/>
      <c r="GK79" s="116"/>
      <c r="GL79" s="116"/>
      <c r="GM79" s="116"/>
      <c r="GN79" s="116"/>
      <c r="GO79" s="116"/>
      <c r="GP79" s="116"/>
      <c r="GQ79" s="116"/>
      <c r="GR79" s="116"/>
      <c r="GS79" s="116"/>
      <c r="GT79" s="116"/>
      <c r="GU79" s="116"/>
      <c r="GV79" s="116"/>
      <c r="GW79" s="116"/>
      <c r="GX79" s="116"/>
      <c r="GY79" s="116"/>
      <c r="GZ79" s="116"/>
      <c r="HA79" s="116"/>
      <c r="HB79" s="116"/>
      <c r="HC79" s="116"/>
      <c r="HD79" s="116"/>
      <c r="HE79" s="116"/>
      <c r="HF79" s="116"/>
      <c r="HG79" s="116"/>
      <c r="HH79" s="116"/>
      <c r="HI79" s="116"/>
      <c r="HJ79" s="116"/>
      <c r="HK79" s="116"/>
      <c r="HL79" s="116"/>
      <c r="HM79" s="116"/>
      <c r="HN79" s="116"/>
      <c r="HO79" s="116"/>
      <c r="HP79" s="116"/>
      <c r="HQ79" s="116"/>
      <c r="HR79" s="116"/>
      <c r="HS79" s="116"/>
      <c r="HT79" s="116"/>
      <c r="HU79" s="116"/>
      <c r="HV79" s="116"/>
      <c r="HW79" s="116"/>
      <c r="HX79" s="116"/>
      <c r="HY79" s="116"/>
      <c r="HZ79" s="116"/>
      <c r="IA79" s="116"/>
      <c r="IB79" s="116"/>
      <c r="IC79" s="116"/>
      <c r="ID79" s="116"/>
      <c r="IE79" s="116"/>
      <c r="IF79" s="116"/>
      <c r="IG79" s="116"/>
      <c r="IH79" s="116"/>
      <c r="II79" s="116"/>
      <c r="IJ79" s="116"/>
      <c r="IK79" s="116"/>
      <c r="IL79" s="116"/>
      <c r="IM79" s="116"/>
      <c r="IN79" s="116"/>
      <c r="IO79" s="116"/>
      <c r="IP79" s="116"/>
      <c r="IQ79" s="116"/>
      <c r="IR79" s="116"/>
      <c r="IS79" s="116"/>
      <c r="IT79" s="116"/>
      <c r="IU79" s="116"/>
      <c r="IV79" s="116"/>
      <c r="IW79" s="116"/>
      <c r="IX79" s="116"/>
      <c r="IY79" s="116"/>
      <c r="IZ79" s="116"/>
    </row>
    <row r="80" spans="2:260" x14ac:dyDescent="0.3">
      <c r="B80" s="133" t="s">
        <v>165</v>
      </c>
      <c r="C80" s="187">
        <f>+(C31-C68)/C31</f>
        <v>0.29283643306696838</v>
      </c>
      <c r="D80" s="135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  <c r="DM80" s="116"/>
      <c r="DN80" s="116"/>
      <c r="DO80" s="116"/>
      <c r="DP80" s="116"/>
      <c r="DQ80" s="116"/>
      <c r="DR80" s="116"/>
      <c r="DS80" s="116"/>
      <c r="DT80" s="116"/>
      <c r="DU80" s="116"/>
      <c r="DV80" s="116"/>
      <c r="DW80" s="116"/>
      <c r="DX80" s="116"/>
      <c r="DY80" s="116"/>
      <c r="DZ80" s="116"/>
      <c r="EA80" s="116"/>
      <c r="EB80" s="116"/>
      <c r="EC80" s="116"/>
      <c r="ED80" s="116"/>
      <c r="EE80" s="116"/>
      <c r="EF80" s="116"/>
      <c r="EG80" s="116"/>
      <c r="EH80" s="116"/>
      <c r="EI80" s="116"/>
      <c r="EJ80" s="116"/>
      <c r="EK80" s="116"/>
      <c r="EL80" s="116"/>
      <c r="EM80" s="116"/>
      <c r="EN80" s="116"/>
      <c r="EO80" s="116"/>
      <c r="EP80" s="116"/>
      <c r="EQ80" s="116"/>
      <c r="ER80" s="116"/>
      <c r="ES80" s="116"/>
      <c r="ET80" s="116"/>
      <c r="EU80" s="116"/>
      <c r="EV80" s="116"/>
      <c r="EW80" s="116"/>
      <c r="EX80" s="116"/>
      <c r="EY80" s="116"/>
      <c r="EZ80" s="116"/>
      <c r="FA80" s="116"/>
      <c r="FB80" s="116"/>
      <c r="FC80" s="116"/>
      <c r="FD80" s="116"/>
      <c r="FE80" s="116"/>
      <c r="FF80" s="116"/>
      <c r="FG80" s="116"/>
      <c r="FH80" s="116"/>
      <c r="FI80" s="116"/>
      <c r="FJ80" s="116"/>
      <c r="FK80" s="116"/>
      <c r="FL80" s="116"/>
      <c r="FM80" s="116"/>
      <c r="FN80" s="116"/>
      <c r="FO80" s="116"/>
      <c r="FP80" s="116"/>
      <c r="FQ80" s="116"/>
      <c r="FR80" s="116"/>
      <c r="FS80" s="116"/>
      <c r="FT80" s="116"/>
      <c r="FU80" s="116"/>
      <c r="FV80" s="116"/>
      <c r="FW80" s="116"/>
      <c r="FX80" s="116"/>
      <c r="FY80" s="116"/>
      <c r="FZ80" s="116"/>
      <c r="GA80" s="116"/>
      <c r="GB80" s="116"/>
      <c r="GC80" s="116"/>
      <c r="GD80" s="116"/>
      <c r="GE80" s="116"/>
      <c r="GF80" s="116"/>
      <c r="GG80" s="116"/>
      <c r="GH80" s="116"/>
      <c r="GI80" s="116"/>
      <c r="GJ80" s="116"/>
      <c r="GK80" s="116"/>
      <c r="GL80" s="116"/>
      <c r="GM80" s="116"/>
      <c r="GN80" s="116"/>
      <c r="GO80" s="116"/>
      <c r="GP80" s="116"/>
      <c r="GQ80" s="116"/>
      <c r="GR80" s="116"/>
      <c r="GS80" s="116"/>
      <c r="GT80" s="116"/>
      <c r="GU80" s="116"/>
      <c r="GV80" s="116"/>
      <c r="GW80" s="116"/>
      <c r="GX80" s="116"/>
      <c r="GY80" s="116"/>
      <c r="GZ80" s="116"/>
      <c r="HA80" s="116"/>
      <c r="HB80" s="116"/>
      <c r="HC80" s="116"/>
      <c r="HD80" s="116"/>
      <c r="HE80" s="116"/>
      <c r="HF80" s="116"/>
      <c r="HG80" s="116"/>
      <c r="HH80" s="116"/>
      <c r="HI80" s="116"/>
      <c r="HJ80" s="116"/>
      <c r="HK80" s="116"/>
      <c r="HL80" s="116"/>
      <c r="HM80" s="116"/>
      <c r="HN80" s="116"/>
      <c r="HO80" s="116"/>
      <c r="HP80" s="116"/>
      <c r="HQ80" s="116"/>
      <c r="HR80" s="116"/>
      <c r="HS80" s="116"/>
      <c r="HT80" s="116"/>
      <c r="HU80" s="116"/>
      <c r="HV80" s="116"/>
      <c r="HW80" s="116"/>
      <c r="HX80" s="116"/>
      <c r="HY80" s="116"/>
      <c r="HZ80" s="116"/>
      <c r="IA80" s="116"/>
      <c r="IB80" s="116"/>
      <c r="IC80" s="116"/>
      <c r="ID80" s="116"/>
      <c r="IE80" s="116"/>
      <c r="IF80" s="116"/>
      <c r="IG80" s="116"/>
      <c r="IH80" s="116"/>
      <c r="II80" s="116"/>
      <c r="IJ80" s="116"/>
      <c r="IK80" s="116"/>
      <c r="IL80" s="116"/>
      <c r="IM80" s="116"/>
      <c r="IN80" s="116"/>
      <c r="IO80" s="116"/>
      <c r="IP80" s="116"/>
      <c r="IQ80" s="116"/>
      <c r="IR80" s="116"/>
      <c r="IS80" s="116"/>
      <c r="IT80" s="116"/>
      <c r="IU80" s="116"/>
      <c r="IV80" s="116"/>
      <c r="IW80" s="116"/>
      <c r="IX80" s="116"/>
      <c r="IY80" s="116"/>
      <c r="IZ80" s="116"/>
    </row>
    <row r="81" spans="2:260" x14ac:dyDescent="0.3">
      <c r="B81" s="133" t="s">
        <v>166</v>
      </c>
      <c r="C81" s="187">
        <f>+C69*(1-C75)</f>
        <v>0.16178500000000001</v>
      </c>
      <c r="D81" s="135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  <c r="DM81" s="116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6"/>
      <c r="DZ81" s="116"/>
      <c r="EA81" s="116"/>
      <c r="EB81" s="116"/>
      <c r="EC81" s="116"/>
      <c r="ED81" s="116"/>
      <c r="EE81" s="116"/>
      <c r="EF81" s="116"/>
      <c r="EG81" s="116"/>
      <c r="EH81" s="116"/>
      <c r="EI81" s="116"/>
      <c r="EJ81" s="116"/>
      <c r="EK81" s="116"/>
      <c r="EL81" s="116"/>
      <c r="EM81" s="116"/>
      <c r="EN81" s="116"/>
      <c r="EO81" s="116"/>
      <c r="EP81" s="116"/>
      <c r="EQ81" s="116"/>
      <c r="ER81" s="116"/>
      <c r="ES81" s="116"/>
      <c r="ET81" s="116"/>
      <c r="EU81" s="116"/>
      <c r="EV81" s="116"/>
      <c r="EW81" s="116"/>
      <c r="EX81" s="116"/>
      <c r="EY81" s="116"/>
      <c r="EZ81" s="116"/>
      <c r="FA81" s="116"/>
      <c r="FB81" s="116"/>
      <c r="FC81" s="116"/>
      <c r="FD81" s="116"/>
      <c r="FE81" s="116"/>
      <c r="FF81" s="116"/>
      <c r="FG81" s="116"/>
      <c r="FH81" s="116"/>
      <c r="FI81" s="116"/>
      <c r="FJ81" s="116"/>
      <c r="FK81" s="116"/>
      <c r="FL81" s="116"/>
      <c r="FM81" s="116"/>
      <c r="FN81" s="116"/>
      <c r="FO81" s="116"/>
      <c r="FP81" s="116"/>
      <c r="FQ81" s="116"/>
      <c r="FR81" s="116"/>
      <c r="FS81" s="116"/>
      <c r="FT81" s="116"/>
      <c r="FU81" s="116"/>
      <c r="FV81" s="116"/>
      <c r="FW81" s="116"/>
      <c r="FX81" s="116"/>
      <c r="FY81" s="116"/>
      <c r="FZ81" s="116"/>
      <c r="GA81" s="116"/>
      <c r="GB81" s="116"/>
      <c r="GC81" s="116"/>
      <c r="GD81" s="116"/>
      <c r="GE81" s="116"/>
      <c r="GF81" s="116"/>
      <c r="GG81" s="116"/>
      <c r="GH81" s="116"/>
      <c r="GI81" s="116"/>
      <c r="GJ81" s="116"/>
      <c r="GK81" s="116"/>
      <c r="GL81" s="116"/>
      <c r="GM81" s="116"/>
      <c r="GN81" s="116"/>
      <c r="GO81" s="116"/>
      <c r="GP81" s="116"/>
      <c r="GQ81" s="116"/>
      <c r="GR81" s="116"/>
      <c r="GS81" s="116"/>
      <c r="GT81" s="116"/>
      <c r="GU81" s="116"/>
      <c r="GV81" s="116"/>
      <c r="GW81" s="116"/>
      <c r="GX81" s="116"/>
      <c r="GY81" s="116"/>
      <c r="GZ81" s="116"/>
      <c r="HA81" s="116"/>
      <c r="HB81" s="116"/>
      <c r="HC81" s="116"/>
      <c r="HD81" s="116"/>
      <c r="HE81" s="116"/>
      <c r="HF81" s="116"/>
      <c r="HG81" s="116"/>
      <c r="HH81" s="116"/>
      <c r="HI81" s="116"/>
      <c r="HJ81" s="116"/>
      <c r="HK81" s="116"/>
      <c r="HL81" s="116"/>
      <c r="HM81" s="116"/>
      <c r="HN81" s="116"/>
      <c r="HO81" s="116"/>
      <c r="HP81" s="116"/>
      <c r="HQ81" s="116"/>
      <c r="HR81" s="116"/>
      <c r="HS81" s="116"/>
      <c r="HT81" s="116"/>
      <c r="HU81" s="116"/>
      <c r="HV81" s="116"/>
      <c r="HW81" s="116"/>
      <c r="HX81" s="116"/>
      <c r="HY81" s="116"/>
      <c r="HZ81" s="116"/>
      <c r="IA81" s="116"/>
      <c r="IB81" s="116"/>
      <c r="IC81" s="116"/>
      <c r="ID81" s="116"/>
      <c r="IE81" s="116"/>
      <c r="IF81" s="116"/>
      <c r="IG81" s="116"/>
      <c r="IH81" s="116"/>
      <c r="II81" s="116"/>
      <c r="IJ81" s="116"/>
      <c r="IK81" s="116"/>
      <c r="IL81" s="116"/>
      <c r="IM81" s="116"/>
      <c r="IN81" s="116"/>
      <c r="IO81" s="116"/>
      <c r="IP81" s="116"/>
      <c r="IQ81" s="116"/>
      <c r="IR81" s="116"/>
      <c r="IS81" s="116"/>
      <c r="IT81" s="116"/>
      <c r="IU81" s="116"/>
      <c r="IV81" s="116"/>
      <c r="IW81" s="116"/>
      <c r="IX81" s="116"/>
      <c r="IY81" s="116"/>
      <c r="IZ81" s="116"/>
    </row>
    <row r="82" spans="2:260" x14ac:dyDescent="0.3">
      <c r="B82" s="133" t="s">
        <v>167</v>
      </c>
      <c r="C82" s="187">
        <f>+(C80*C79)+(1-C80)*C81</f>
        <v>0.15833392263630577</v>
      </c>
      <c r="D82" s="132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  <c r="DM82" s="116"/>
      <c r="DN82" s="116"/>
      <c r="DO82" s="116"/>
      <c r="DP82" s="116"/>
      <c r="DQ82" s="116"/>
      <c r="DR82" s="116"/>
      <c r="DS82" s="116"/>
      <c r="DT82" s="116"/>
      <c r="DU82" s="116"/>
      <c r="DV82" s="116"/>
      <c r="DW82" s="116"/>
      <c r="DX82" s="116"/>
      <c r="DY82" s="116"/>
      <c r="DZ82" s="116"/>
      <c r="EA82" s="116"/>
      <c r="EB82" s="116"/>
      <c r="EC82" s="116"/>
      <c r="ED82" s="116"/>
      <c r="EE82" s="116"/>
      <c r="EF82" s="116"/>
      <c r="EG82" s="116"/>
      <c r="EH82" s="116"/>
      <c r="EI82" s="116"/>
      <c r="EJ82" s="116"/>
      <c r="EK82" s="116"/>
      <c r="EL82" s="116"/>
      <c r="EM82" s="116"/>
      <c r="EN82" s="116"/>
      <c r="EO82" s="116"/>
      <c r="EP82" s="116"/>
      <c r="EQ82" s="116"/>
      <c r="ER82" s="116"/>
      <c r="ES82" s="116"/>
      <c r="ET82" s="116"/>
      <c r="EU82" s="116"/>
      <c r="EV82" s="116"/>
      <c r="EW82" s="116"/>
      <c r="EX82" s="116"/>
      <c r="EY82" s="116"/>
      <c r="EZ82" s="116"/>
      <c r="FA82" s="116"/>
      <c r="FB82" s="116"/>
      <c r="FC82" s="116"/>
      <c r="FD82" s="116"/>
      <c r="FE82" s="116"/>
      <c r="FF82" s="116"/>
      <c r="FG82" s="116"/>
      <c r="FH82" s="116"/>
      <c r="FI82" s="116"/>
      <c r="FJ82" s="116"/>
      <c r="FK82" s="116"/>
      <c r="FL82" s="116"/>
      <c r="FM82" s="116"/>
      <c r="FN82" s="116"/>
      <c r="FO82" s="116"/>
      <c r="FP82" s="116"/>
      <c r="FQ82" s="116"/>
      <c r="FR82" s="116"/>
      <c r="FS82" s="116"/>
      <c r="FT82" s="116"/>
      <c r="FU82" s="116"/>
      <c r="FV82" s="116"/>
      <c r="FW82" s="116"/>
      <c r="FX82" s="116"/>
      <c r="FY82" s="116"/>
      <c r="FZ82" s="116"/>
      <c r="GA82" s="116"/>
      <c r="GB82" s="116"/>
      <c r="GC82" s="116"/>
      <c r="GD82" s="116"/>
      <c r="GE82" s="116"/>
      <c r="GF82" s="116"/>
      <c r="GG82" s="116"/>
      <c r="GH82" s="116"/>
      <c r="GI82" s="116"/>
      <c r="GJ82" s="116"/>
      <c r="GK82" s="116"/>
      <c r="GL82" s="116"/>
      <c r="GM82" s="116"/>
      <c r="GN82" s="116"/>
      <c r="GO82" s="116"/>
      <c r="GP82" s="116"/>
      <c r="GQ82" s="116"/>
      <c r="GR82" s="116"/>
      <c r="GS82" s="116"/>
      <c r="GT82" s="116"/>
      <c r="GU82" s="116"/>
      <c r="GV82" s="116"/>
      <c r="GW82" s="116"/>
      <c r="GX82" s="116"/>
      <c r="GY82" s="116"/>
      <c r="GZ82" s="116"/>
      <c r="HA82" s="116"/>
      <c r="HB82" s="116"/>
      <c r="HC82" s="116"/>
      <c r="HD82" s="116"/>
      <c r="HE82" s="116"/>
      <c r="HF82" s="116"/>
      <c r="HG82" s="116"/>
      <c r="HH82" s="116"/>
      <c r="HI82" s="116"/>
      <c r="HJ82" s="116"/>
      <c r="HK82" s="116"/>
      <c r="HL82" s="116"/>
      <c r="HM82" s="116"/>
      <c r="HN82" s="116"/>
      <c r="HO82" s="116"/>
      <c r="HP82" s="116"/>
      <c r="HQ82" s="116"/>
      <c r="HR82" s="116"/>
      <c r="HS82" s="116"/>
      <c r="HT82" s="116"/>
      <c r="HU82" s="116"/>
      <c r="HV82" s="116"/>
      <c r="HW82" s="116"/>
      <c r="HX82" s="116"/>
      <c r="HY82" s="116"/>
      <c r="HZ82" s="116"/>
      <c r="IA82" s="116"/>
      <c r="IB82" s="116"/>
      <c r="IC82" s="116"/>
      <c r="ID82" s="116"/>
      <c r="IE82" s="116"/>
      <c r="IF82" s="116"/>
      <c r="IG82" s="116"/>
      <c r="IH82" s="116"/>
      <c r="II82" s="116"/>
      <c r="IJ82" s="116"/>
      <c r="IK82" s="116"/>
      <c r="IL82" s="116"/>
      <c r="IM82" s="116"/>
      <c r="IN82" s="116"/>
      <c r="IO82" s="116"/>
      <c r="IP82" s="116"/>
      <c r="IQ82" s="116"/>
      <c r="IR82" s="116"/>
      <c r="IS82" s="116"/>
      <c r="IT82" s="116"/>
      <c r="IU82" s="116"/>
      <c r="IV82" s="116"/>
      <c r="IW82" s="116"/>
      <c r="IX82" s="116"/>
      <c r="IY82" s="116"/>
      <c r="IZ82" s="116"/>
    </row>
    <row r="83" spans="2:260" x14ac:dyDescent="0.3">
      <c r="B83" s="115"/>
      <c r="C83" s="132"/>
      <c r="D83" s="132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  <c r="DM83" s="116"/>
      <c r="DN83" s="116"/>
      <c r="DO83" s="116"/>
      <c r="DP83" s="116"/>
      <c r="DQ83" s="116"/>
      <c r="DR83" s="116"/>
      <c r="DS83" s="116"/>
      <c r="DT83" s="116"/>
      <c r="DU83" s="116"/>
      <c r="DV83" s="116"/>
      <c r="DW83" s="116"/>
      <c r="DX83" s="116"/>
      <c r="DY83" s="116"/>
      <c r="DZ83" s="116"/>
      <c r="EA83" s="116"/>
      <c r="EB83" s="116"/>
      <c r="EC83" s="116"/>
      <c r="ED83" s="116"/>
      <c r="EE83" s="116"/>
      <c r="EF83" s="116"/>
      <c r="EG83" s="116"/>
      <c r="EH83" s="116"/>
      <c r="EI83" s="116"/>
      <c r="EJ83" s="116"/>
      <c r="EK83" s="116"/>
      <c r="EL83" s="116"/>
      <c r="EM83" s="116"/>
      <c r="EN83" s="116"/>
      <c r="EO83" s="116"/>
      <c r="EP83" s="116"/>
      <c r="EQ83" s="116"/>
      <c r="ER83" s="116"/>
      <c r="ES83" s="116"/>
      <c r="ET83" s="116"/>
      <c r="EU83" s="116"/>
      <c r="EV83" s="116"/>
      <c r="EW83" s="116"/>
      <c r="EX83" s="116"/>
      <c r="EY83" s="116"/>
      <c r="EZ83" s="116"/>
      <c r="FA83" s="116"/>
      <c r="FB83" s="116"/>
      <c r="FC83" s="116"/>
      <c r="FD83" s="116"/>
      <c r="FE83" s="116"/>
      <c r="FF83" s="116"/>
      <c r="FG83" s="116"/>
      <c r="FH83" s="116"/>
      <c r="FI83" s="116"/>
      <c r="FJ83" s="116"/>
      <c r="FK83" s="116"/>
      <c r="FL83" s="116"/>
      <c r="FM83" s="116"/>
      <c r="FN83" s="116"/>
      <c r="FO83" s="116"/>
      <c r="FP83" s="116"/>
      <c r="FQ83" s="116"/>
      <c r="FR83" s="116"/>
      <c r="FS83" s="116"/>
      <c r="FT83" s="116"/>
      <c r="FU83" s="116"/>
      <c r="FV83" s="116"/>
      <c r="FW83" s="116"/>
      <c r="FX83" s="116"/>
      <c r="FY83" s="116"/>
      <c r="FZ83" s="116"/>
      <c r="GA83" s="116"/>
      <c r="GB83" s="116"/>
      <c r="GC83" s="116"/>
      <c r="GD83" s="116"/>
      <c r="GE83" s="116"/>
      <c r="GF83" s="116"/>
      <c r="GG83" s="116"/>
      <c r="GH83" s="116"/>
      <c r="GI83" s="116"/>
      <c r="GJ83" s="116"/>
      <c r="GK83" s="116"/>
      <c r="GL83" s="116"/>
      <c r="GM83" s="116"/>
      <c r="GN83" s="116"/>
      <c r="GO83" s="116"/>
      <c r="GP83" s="116"/>
      <c r="GQ83" s="116"/>
      <c r="GR83" s="116"/>
      <c r="GS83" s="116"/>
      <c r="GT83" s="116"/>
      <c r="GU83" s="116"/>
      <c r="GV83" s="116"/>
      <c r="GW83" s="116"/>
      <c r="GX83" s="116"/>
      <c r="GY83" s="116"/>
      <c r="GZ83" s="116"/>
      <c r="HA83" s="116"/>
      <c r="HB83" s="116"/>
      <c r="HC83" s="116"/>
      <c r="HD83" s="116"/>
      <c r="HE83" s="116"/>
      <c r="HF83" s="116"/>
      <c r="HG83" s="116"/>
      <c r="HH83" s="116"/>
      <c r="HI83" s="116"/>
      <c r="HJ83" s="116"/>
      <c r="HK83" s="116"/>
      <c r="HL83" s="116"/>
      <c r="HM83" s="116"/>
      <c r="HN83" s="116"/>
      <c r="HO83" s="116"/>
      <c r="HP83" s="116"/>
      <c r="HQ83" s="116"/>
      <c r="HR83" s="116"/>
      <c r="HS83" s="116"/>
      <c r="HT83" s="116"/>
      <c r="HU83" s="116"/>
      <c r="HV83" s="116"/>
      <c r="HW83" s="116"/>
      <c r="HX83" s="116"/>
      <c r="HY83" s="116"/>
      <c r="HZ83" s="116"/>
      <c r="IA83" s="116"/>
      <c r="IB83" s="116"/>
      <c r="IC83" s="116"/>
      <c r="ID83" s="116"/>
      <c r="IE83" s="116"/>
      <c r="IF83" s="116"/>
      <c r="IG83" s="116"/>
      <c r="IH83" s="116"/>
      <c r="II83" s="116"/>
      <c r="IJ83" s="116"/>
      <c r="IK83" s="116"/>
      <c r="IL83" s="116"/>
      <c r="IM83" s="116"/>
      <c r="IN83" s="116"/>
      <c r="IO83" s="116"/>
      <c r="IP83" s="116"/>
      <c r="IQ83" s="116"/>
      <c r="IR83" s="116"/>
      <c r="IS83" s="116"/>
      <c r="IT83" s="116"/>
      <c r="IU83" s="116"/>
      <c r="IV83" s="116"/>
      <c r="IW83" s="116"/>
      <c r="IX83" s="116"/>
      <c r="IY83" s="116"/>
      <c r="IZ83" s="116"/>
    </row>
    <row r="84" spans="2:260" x14ac:dyDescent="0.3">
      <c r="B84" s="373" t="s">
        <v>235</v>
      </c>
      <c r="C84" s="373"/>
      <c r="D84" s="373"/>
      <c r="E84" s="116"/>
      <c r="F84" s="373" t="s">
        <v>236</v>
      </c>
      <c r="G84" s="373"/>
      <c r="H84" s="208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  <c r="DM84" s="116"/>
      <c r="DN84" s="116"/>
      <c r="DO84" s="116"/>
      <c r="DP84" s="116"/>
      <c r="DQ84" s="116"/>
      <c r="DR84" s="116"/>
      <c r="DS84" s="116"/>
      <c r="DT84" s="116"/>
      <c r="DU84" s="116"/>
      <c r="DV84" s="116"/>
      <c r="DW84" s="116"/>
      <c r="DX84" s="116"/>
      <c r="DY84" s="116"/>
      <c r="DZ84" s="116"/>
      <c r="EA84" s="116"/>
      <c r="EB84" s="116"/>
      <c r="EC84" s="116"/>
      <c r="ED84" s="116"/>
      <c r="EE84" s="116"/>
      <c r="EF84" s="116"/>
      <c r="EG84" s="116"/>
      <c r="EH84" s="116"/>
      <c r="EI84" s="116"/>
      <c r="EJ84" s="116"/>
      <c r="EK84" s="116"/>
      <c r="EL84" s="116"/>
      <c r="EM84" s="116"/>
      <c r="EN84" s="116"/>
      <c r="EO84" s="116"/>
      <c r="EP84" s="116"/>
      <c r="EQ84" s="116"/>
      <c r="ER84" s="116"/>
      <c r="ES84" s="116"/>
      <c r="ET84" s="116"/>
      <c r="EU84" s="116"/>
      <c r="EV84" s="116"/>
      <c r="EW84" s="116"/>
      <c r="EX84" s="116"/>
      <c r="EY84" s="116"/>
      <c r="EZ84" s="116"/>
      <c r="FA84" s="116"/>
      <c r="FB84" s="116"/>
      <c r="FC84" s="116"/>
      <c r="FD84" s="116"/>
      <c r="FE84" s="116"/>
      <c r="FF84" s="116"/>
      <c r="FG84" s="116"/>
      <c r="FH84" s="116"/>
      <c r="FI84" s="116"/>
      <c r="FJ84" s="116"/>
      <c r="FK84" s="116"/>
      <c r="FL84" s="116"/>
      <c r="FM84" s="116"/>
      <c r="FN84" s="116"/>
      <c r="FO84" s="116"/>
      <c r="FP84" s="116"/>
      <c r="FQ84" s="116"/>
      <c r="FR84" s="116"/>
      <c r="FS84" s="116"/>
      <c r="FT84" s="116"/>
      <c r="FU84" s="116"/>
      <c r="FV84" s="116"/>
      <c r="FW84" s="116"/>
      <c r="FX84" s="116"/>
      <c r="FY84" s="116"/>
      <c r="FZ84" s="116"/>
      <c r="GA84" s="116"/>
      <c r="GB84" s="116"/>
      <c r="GC84" s="116"/>
      <c r="GD84" s="116"/>
      <c r="GE84" s="116"/>
      <c r="GF84" s="116"/>
      <c r="GG84" s="116"/>
      <c r="GH84" s="116"/>
      <c r="GI84" s="116"/>
      <c r="GJ84" s="116"/>
      <c r="GK84" s="116"/>
      <c r="GL84" s="116"/>
      <c r="GM84" s="116"/>
      <c r="GN84" s="116"/>
      <c r="GO84" s="116"/>
      <c r="GP84" s="116"/>
      <c r="GQ84" s="116"/>
      <c r="GR84" s="116"/>
      <c r="GS84" s="116"/>
      <c r="GT84" s="116"/>
      <c r="GU84" s="116"/>
      <c r="GV84" s="116"/>
      <c r="GW84" s="116"/>
      <c r="GX84" s="116"/>
      <c r="GY84" s="116"/>
      <c r="GZ84" s="116"/>
      <c r="HA84" s="116"/>
      <c r="HB84" s="116"/>
      <c r="HC84" s="116"/>
      <c r="HD84" s="116"/>
      <c r="HE84" s="116"/>
      <c r="HF84" s="116"/>
      <c r="HG84" s="116"/>
      <c r="HH84" s="116"/>
      <c r="HI84" s="116"/>
      <c r="HJ84" s="116"/>
      <c r="HK84" s="116"/>
      <c r="HL84" s="116"/>
      <c r="HM84" s="116"/>
      <c r="HN84" s="116"/>
      <c r="HO84" s="116"/>
      <c r="HP84" s="116"/>
      <c r="HQ84" s="116"/>
      <c r="HR84" s="116"/>
      <c r="HS84" s="116"/>
      <c r="HT84" s="116"/>
      <c r="HU84" s="116"/>
      <c r="HV84" s="116"/>
      <c r="HW84" s="116"/>
      <c r="HX84" s="116"/>
      <c r="HY84" s="116"/>
      <c r="HZ84" s="116"/>
      <c r="IA84" s="116"/>
      <c r="IB84" s="116"/>
      <c r="IC84" s="116"/>
      <c r="ID84" s="116"/>
      <c r="IE84" s="116"/>
      <c r="IF84" s="116"/>
      <c r="IG84" s="116"/>
      <c r="IH84" s="116"/>
      <c r="II84" s="116"/>
      <c r="IJ84" s="116"/>
      <c r="IK84" s="116"/>
      <c r="IL84" s="116"/>
      <c r="IM84" s="116"/>
      <c r="IN84" s="116"/>
      <c r="IO84" s="116"/>
      <c r="IP84" s="116"/>
      <c r="IQ84" s="116"/>
      <c r="IR84" s="116"/>
      <c r="IS84" s="116"/>
      <c r="IT84" s="116"/>
      <c r="IU84" s="116"/>
      <c r="IV84" s="116"/>
      <c r="IW84" s="116"/>
      <c r="IX84" s="116"/>
      <c r="IY84" s="116"/>
      <c r="IZ84" s="116"/>
    </row>
    <row r="85" spans="2:260" x14ac:dyDescent="0.3">
      <c r="B85" s="373" t="s">
        <v>173</v>
      </c>
      <c r="C85" s="373"/>
      <c r="D85" s="373"/>
      <c r="E85" s="116"/>
      <c r="F85" s="373" t="s">
        <v>174</v>
      </c>
      <c r="G85" s="373"/>
      <c r="H85" s="208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  <c r="DM85" s="116"/>
      <c r="DN85" s="116"/>
      <c r="DO85" s="116"/>
      <c r="DP85" s="116"/>
      <c r="DQ85" s="116"/>
      <c r="DR85" s="116"/>
      <c r="DS85" s="116"/>
      <c r="DT85" s="116"/>
      <c r="DU85" s="116"/>
      <c r="DV85" s="116"/>
      <c r="DW85" s="116"/>
      <c r="DX85" s="116"/>
      <c r="DY85" s="116"/>
      <c r="DZ85" s="116"/>
      <c r="EA85" s="116"/>
      <c r="EB85" s="116"/>
      <c r="EC85" s="116"/>
      <c r="ED85" s="116"/>
      <c r="EE85" s="116"/>
      <c r="EF85" s="116"/>
      <c r="EG85" s="116"/>
      <c r="EH85" s="116"/>
      <c r="EI85" s="116"/>
      <c r="EJ85" s="116"/>
      <c r="EK85" s="116"/>
      <c r="EL85" s="116"/>
      <c r="EM85" s="116"/>
      <c r="EN85" s="116"/>
      <c r="EO85" s="116"/>
      <c r="EP85" s="116"/>
      <c r="EQ85" s="116"/>
      <c r="ER85" s="116"/>
      <c r="ES85" s="116"/>
      <c r="ET85" s="116"/>
      <c r="EU85" s="116"/>
      <c r="EV85" s="116"/>
      <c r="EW85" s="116"/>
      <c r="EX85" s="116"/>
      <c r="EY85" s="116"/>
      <c r="EZ85" s="116"/>
      <c r="FA85" s="116"/>
      <c r="FB85" s="116"/>
      <c r="FC85" s="116"/>
      <c r="FD85" s="116"/>
      <c r="FE85" s="116"/>
      <c r="FF85" s="116"/>
      <c r="FG85" s="116"/>
      <c r="FH85" s="116"/>
      <c r="FI85" s="116"/>
      <c r="FJ85" s="116"/>
      <c r="FK85" s="116"/>
      <c r="FL85" s="116"/>
      <c r="FM85" s="116"/>
      <c r="FN85" s="116"/>
      <c r="FO85" s="116"/>
      <c r="FP85" s="116"/>
      <c r="FQ85" s="116"/>
      <c r="FR85" s="116"/>
      <c r="FS85" s="116"/>
      <c r="FT85" s="116"/>
      <c r="FU85" s="116"/>
      <c r="FV85" s="116"/>
      <c r="FW85" s="116"/>
      <c r="FX85" s="116"/>
      <c r="FY85" s="116"/>
      <c r="FZ85" s="116"/>
      <c r="GA85" s="116"/>
      <c r="GB85" s="116"/>
      <c r="GC85" s="116"/>
      <c r="GD85" s="116"/>
      <c r="GE85" s="116"/>
      <c r="GF85" s="116"/>
      <c r="GG85" s="116"/>
      <c r="GH85" s="116"/>
      <c r="GI85" s="116"/>
      <c r="GJ85" s="116"/>
      <c r="GK85" s="116"/>
      <c r="GL85" s="116"/>
      <c r="GM85" s="116"/>
      <c r="GN85" s="116"/>
      <c r="GO85" s="116"/>
      <c r="GP85" s="116"/>
      <c r="GQ85" s="116"/>
      <c r="GR85" s="116"/>
      <c r="GS85" s="116"/>
      <c r="GT85" s="116"/>
      <c r="GU85" s="116"/>
      <c r="GV85" s="116"/>
      <c r="GW85" s="116"/>
      <c r="GX85" s="116"/>
      <c r="GY85" s="116"/>
      <c r="GZ85" s="116"/>
      <c r="HA85" s="116"/>
      <c r="HB85" s="116"/>
      <c r="HC85" s="116"/>
      <c r="HD85" s="116"/>
      <c r="HE85" s="116"/>
      <c r="HF85" s="116"/>
      <c r="HG85" s="116"/>
      <c r="HH85" s="116"/>
      <c r="HI85" s="116"/>
      <c r="HJ85" s="116"/>
      <c r="HK85" s="116"/>
      <c r="HL85" s="116"/>
      <c r="HM85" s="116"/>
      <c r="HN85" s="116"/>
      <c r="HO85" s="116"/>
      <c r="HP85" s="116"/>
      <c r="HQ85" s="116"/>
      <c r="HR85" s="116"/>
      <c r="HS85" s="116"/>
      <c r="HT85" s="116"/>
      <c r="HU85" s="116"/>
      <c r="HV85" s="116"/>
      <c r="HW85" s="116"/>
      <c r="HX85" s="116"/>
      <c r="HY85" s="116"/>
      <c r="HZ85" s="116"/>
      <c r="IA85" s="116"/>
      <c r="IB85" s="116"/>
      <c r="IC85" s="116"/>
      <c r="ID85" s="116"/>
      <c r="IE85" s="116"/>
      <c r="IF85" s="116"/>
      <c r="IG85" s="116"/>
      <c r="IH85" s="116"/>
      <c r="II85" s="116"/>
      <c r="IJ85" s="116"/>
      <c r="IK85" s="116"/>
      <c r="IL85" s="116"/>
      <c r="IM85" s="116"/>
      <c r="IN85" s="116"/>
      <c r="IO85" s="116"/>
      <c r="IP85" s="116"/>
      <c r="IQ85" s="116"/>
      <c r="IR85" s="116"/>
      <c r="IS85" s="116"/>
      <c r="IT85" s="116"/>
      <c r="IU85" s="116"/>
      <c r="IV85" s="116"/>
      <c r="IW85" s="116"/>
      <c r="IX85" s="116"/>
      <c r="IY85" s="116"/>
      <c r="IZ85" s="116"/>
    </row>
    <row r="86" spans="2:260" ht="16.2" thickBot="1" x14ac:dyDescent="0.35">
      <c r="B86" s="375" t="s">
        <v>175</v>
      </c>
      <c r="C86" s="375"/>
      <c r="D86" s="375"/>
      <c r="E86" s="116"/>
      <c r="F86" s="376" t="s">
        <v>175</v>
      </c>
      <c r="G86" s="37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  <c r="DC86" s="116"/>
      <c r="DD86" s="116"/>
      <c r="DE86" s="116"/>
      <c r="DF86" s="116"/>
      <c r="DG86" s="116"/>
      <c r="DH86" s="116"/>
      <c r="DI86" s="116"/>
      <c r="DJ86" s="116"/>
      <c r="DK86" s="116"/>
      <c r="DL86" s="116"/>
      <c r="DM86" s="116"/>
      <c r="DN86" s="116"/>
      <c r="DO86" s="116"/>
      <c r="DP86" s="116"/>
      <c r="DQ86" s="116"/>
      <c r="DR86" s="116"/>
      <c r="DS86" s="116"/>
      <c r="DT86" s="116"/>
      <c r="DU86" s="116"/>
      <c r="DV86" s="116"/>
      <c r="DW86" s="116"/>
      <c r="DX86" s="116"/>
      <c r="DY86" s="116"/>
      <c r="DZ86" s="116"/>
      <c r="EA86" s="116"/>
      <c r="EB86" s="116"/>
      <c r="EC86" s="116"/>
      <c r="ED86" s="116"/>
      <c r="EE86" s="116"/>
      <c r="EF86" s="116"/>
      <c r="EG86" s="116"/>
      <c r="EH86" s="116"/>
      <c r="EI86" s="116"/>
      <c r="EJ86" s="116"/>
      <c r="EK86" s="116"/>
      <c r="EL86" s="116"/>
      <c r="EM86" s="116"/>
      <c r="EN86" s="116"/>
      <c r="EO86" s="116"/>
      <c r="EP86" s="116"/>
      <c r="EQ86" s="116"/>
      <c r="ER86" s="116"/>
      <c r="ES86" s="116"/>
      <c r="ET86" s="116"/>
      <c r="EU86" s="116"/>
      <c r="EV86" s="116"/>
      <c r="EW86" s="116"/>
      <c r="EX86" s="116"/>
      <c r="EY86" s="116"/>
      <c r="EZ86" s="116"/>
      <c r="FA86" s="116"/>
      <c r="FB86" s="116"/>
      <c r="FC86" s="116"/>
      <c r="FD86" s="116"/>
      <c r="FE86" s="116"/>
      <c r="FF86" s="116"/>
      <c r="FG86" s="116"/>
      <c r="FH86" s="116"/>
      <c r="FI86" s="116"/>
      <c r="FJ86" s="116"/>
      <c r="FK86" s="116"/>
      <c r="FL86" s="116"/>
      <c r="FM86" s="116"/>
      <c r="FN86" s="116"/>
      <c r="FO86" s="116"/>
      <c r="FP86" s="116"/>
      <c r="FQ86" s="116"/>
      <c r="FR86" s="116"/>
      <c r="FS86" s="116"/>
      <c r="FT86" s="116"/>
      <c r="FU86" s="116"/>
      <c r="FV86" s="116"/>
      <c r="FW86" s="116"/>
      <c r="FX86" s="116"/>
      <c r="FY86" s="116"/>
      <c r="FZ86" s="116"/>
      <c r="GA86" s="116"/>
      <c r="GB86" s="116"/>
      <c r="GC86" s="116"/>
      <c r="GD86" s="116"/>
      <c r="GE86" s="116"/>
      <c r="GF86" s="116"/>
      <c r="GG86" s="116"/>
      <c r="GH86" s="116"/>
      <c r="GI86" s="116"/>
      <c r="GJ86" s="116"/>
      <c r="GK86" s="116"/>
      <c r="GL86" s="116"/>
      <c r="GM86" s="116"/>
      <c r="GN86" s="116"/>
      <c r="GO86" s="116"/>
      <c r="GP86" s="116"/>
      <c r="GQ86" s="116"/>
      <c r="GR86" s="116"/>
      <c r="GS86" s="116"/>
      <c r="GT86" s="116"/>
      <c r="GU86" s="116"/>
      <c r="GV86" s="116"/>
      <c r="GW86" s="116"/>
      <c r="GX86" s="116"/>
      <c r="GY86" s="116"/>
      <c r="GZ86" s="116"/>
      <c r="HA86" s="116"/>
      <c r="HB86" s="116"/>
      <c r="HC86" s="116"/>
      <c r="HD86" s="116"/>
      <c r="HE86" s="116"/>
      <c r="HF86" s="116"/>
      <c r="HG86" s="116"/>
      <c r="HH86" s="116"/>
      <c r="HI86" s="116"/>
      <c r="HJ86" s="116"/>
      <c r="HK86" s="116"/>
      <c r="HL86" s="116"/>
      <c r="HM86" s="116"/>
      <c r="HN86" s="116"/>
      <c r="HO86" s="116"/>
      <c r="HP86" s="116"/>
      <c r="HQ86" s="116"/>
      <c r="HR86" s="116"/>
      <c r="HS86" s="116"/>
      <c r="HT86" s="116"/>
      <c r="HU86" s="116"/>
      <c r="HV86" s="116"/>
      <c r="HW86" s="116"/>
      <c r="HX86" s="116"/>
      <c r="HY86" s="116"/>
      <c r="HZ86" s="116"/>
      <c r="IA86" s="116"/>
      <c r="IB86" s="116"/>
      <c r="IC86" s="116"/>
      <c r="ID86" s="116"/>
      <c r="IE86" s="116"/>
      <c r="IF86" s="116"/>
      <c r="IG86" s="116"/>
      <c r="IH86" s="116"/>
      <c r="II86" s="116"/>
      <c r="IJ86" s="116"/>
      <c r="IK86" s="116"/>
      <c r="IL86" s="116"/>
      <c r="IM86" s="116"/>
      <c r="IN86" s="116"/>
      <c r="IO86" s="116"/>
      <c r="IP86" s="116"/>
      <c r="IQ86" s="116"/>
      <c r="IR86" s="116"/>
      <c r="IS86" s="116"/>
      <c r="IT86" s="116"/>
      <c r="IU86" s="116"/>
      <c r="IV86" s="116"/>
      <c r="IW86" s="116"/>
      <c r="IX86" s="116"/>
      <c r="IY86" s="116"/>
      <c r="IZ86" s="116"/>
    </row>
    <row r="87" spans="2:260" s="227" customFormat="1" x14ac:dyDescent="0.3">
      <c r="B87" s="154" t="s">
        <v>176</v>
      </c>
      <c r="C87" s="155" t="s">
        <v>232</v>
      </c>
      <c r="D87" s="155" t="s">
        <v>233</v>
      </c>
      <c r="E87" s="228"/>
      <c r="F87" s="156" t="s">
        <v>176</v>
      </c>
      <c r="G87" s="156" t="s">
        <v>177</v>
      </c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A87" s="228"/>
      <c r="BB87" s="228"/>
      <c r="BC87" s="228"/>
      <c r="BD87" s="228"/>
      <c r="BE87" s="228"/>
      <c r="BF87" s="228"/>
      <c r="BG87" s="228"/>
      <c r="BH87" s="228"/>
      <c r="BI87" s="228"/>
      <c r="BJ87" s="228"/>
      <c r="BK87" s="228"/>
      <c r="BL87" s="228"/>
      <c r="BM87" s="228"/>
      <c r="BN87" s="228"/>
      <c r="BO87" s="228"/>
      <c r="BP87" s="228"/>
      <c r="BQ87" s="228"/>
      <c r="BR87" s="228"/>
      <c r="BS87" s="228"/>
      <c r="BT87" s="228"/>
      <c r="BU87" s="228"/>
      <c r="BV87" s="228"/>
      <c r="BW87" s="228"/>
      <c r="BX87" s="228"/>
      <c r="BY87" s="228"/>
      <c r="BZ87" s="228"/>
      <c r="CA87" s="228"/>
      <c r="CB87" s="228"/>
      <c r="CC87" s="228"/>
      <c r="CD87" s="228"/>
      <c r="CE87" s="228"/>
      <c r="CF87" s="228"/>
      <c r="CG87" s="228"/>
      <c r="CH87" s="228"/>
      <c r="CI87" s="228"/>
      <c r="CJ87" s="228"/>
      <c r="CK87" s="228"/>
      <c r="CL87" s="228"/>
      <c r="CM87" s="228"/>
      <c r="CN87" s="228"/>
      <c r="CO87" s="228"/>
      <c r="CP87" s="228"/>
      <c r="CQ87" s="228"/>
      <c r="CR87" s="228"/>
      <c r="CS87" s="228"/>
      <c r="CT87" s="228"/>
      <c r="CU87" s="228"/>
      <c r="CV87" s="228"/>
      <c r="CW87" s="228"/>
      <c r="CX87" s="228"/>
      <c r="CY87" s="228"/>
      <c r="CZ87" s="228"/>
      <c r="DA87" s="228"/>
      <c r="DB87" s="228"/>
      <c r="DC87" s="228"/>
      <c r="DD87" s="228"/>
      <c r="DE87" s="228"/>
      <c r="DF87" s="228"/>
      <c r="DG87" s="228"/>
      <c r="DH87" s="228"/>
      <c r="DI87" s="228"/>
      <c r="DJ87" s="228"/>
      <c r="DK87" s="228"/>
      <c r="DL87" s="228"/>
      <c r="DM87" s="228"/>
      <c r="DN87" s="228"/>
      <c r="DO87" s="228"/>
      <c r="DP87" s="228"/>
      <c r="DQ87" s="228"/>
      <c r="DR87" s="228"/>
      <c r="DS87" s="228"/>
      <c r="DT87" s="228"/>
      <c r="DU87" s="228"/>
      <c r="DV87" s="228"/>
      <c r="DW87" s="228"/>
      <c r="DX87" s="228"/>
      <c r="DY87" s="228"/>
      <c r="DZ87" s="228"/>
      <c r="EA87" s="228"/>
      <c r="EB87" s="228"/>
      <c r="EC87" s="228"/>
      <c r="ED87" s="228"/>
      <c r="EE87" s="228"/>
      <c r="EF87" s="228"/>
      <c r="EG87" s="228"/>
      <c r="EH87" s="228"/>
      <c r="EI87" s="228"/>
      <c r="EJ87" s="228"/>
      <c r="EK87" s="228"/>
      <c r="EL87" s="228"/>
      <c r="EM87" s="228"/>
      <c r="EN87" s="228"/>
      <c r="EO87" s="228"/>
      <c r="EP87" s="228"/>
      <c r="EQ87" s="228"/>
      <c r="ER87" s="228"/>
      <c r="ES87" s="228"/>
      <c r="ET87" s="228"/>
      <c r="EU87" s="228"/>
      <c r="EV87" s="228"/>
      <c r="EW87" s="228"/>
      <c r="EX87" s="228"/>
      <c r="EY87" s="228"/>
      <c r="EZ87" s="228"/>
      <c r="FA87" s="228"/>
      <c r="FB87" s="228"/>
      <c r="FC87" s="228"/>
      <c r="FD87" s="228"/>
      <c r="FE87" s="228"/>
      <c r="FF87" s="228"/>
      <c r="FG87" s="228"/>
      <c r="FH87" s="228"/>
      <c r="FI87" s="228"/>
      <c r="FJ87" s="228"/>
      <c r="FK87" s="228"/>
      <c r="FL87" s="228"/>
      <c r="FM87" s="228"/>
      <c r="FN87" s="228"/>
      <c r="FO87" s="228"/>
      <c r="FP87" s="228"/>
      <c r="FQ87" s="228"/>
      <c r="FR87" s="228"/>
      <c r="FS87" s="228"/>
      <c r="FT87" s="228"/>
      <c r="FU87" s="228"/>
      <c r="FV87" s="228"/>
      <c r="FW87" s="228"/>
      <c r="FX87" s="228"/>
      <c r="FY87" s="228"/>
      <c r="FZ87" s="228"/>
      <c r="GA87" s="228"/>
      <c r="GB87" s="228"/>
      <c r="GC87" s="228"/>
      <c r="GD87" s="228"/>
      <c r="GE87" s="228"/>
      <c r="GF87" s="228"/>
      <c r="GG87" s="228"/>
      <c r="GH87" s="228"/>
      <c r="GI87" s="228"/>
      <c r="GJ87" s="228"/>
      <c r="GK87" s="228"/>
      <c r="GL87" s="228"/>
      <c r="GM87" s="228"/>
      <c r="GN87" s="228"/>
      <c r="GO87" s="228"/>
      <c r="GP87" s="228"/>
      <c r="GQ87" s="228"/>
      <c r="GR87" s="228"/>
      <c r="GS87" s="228"/>
      <c r="GT87" s="228"/>
      <c r="GU87" s="228"/>
      <c r="GV87" s="228"/>
      <c r="GW87" s="228"/>
      <c r="GX87" s="228"/>
      <c r="GY87" s="228"/>
      <c r="GZ87" s="228"/>
      <c r="HA87" s="228"/>
      <c r="HB87" s="228"/>
      <c r="HC87" s="228"/>
      <c r="HD87" s="228"/>
      <c r="HE87" s="228"/>
      <c r="HF87" s="228"/>
      <c r="HG87" s="228"/>
      <c r="HH87" s="228"/>
      <c r="HI87" s="228"/>
      <c r="HJ87" s="228"/>
      <c r="HK87" s="228"/>
      <c r="HL87" s="228"/>
      <c r="HM87" s="228"/>
      <c r="HN87" s="228"/>
      <c r="HO87" s="228"/>
      <c r="HP87" s="228"/>
      <c r="HQ87" s="228"/>
      <c r="HR87" s="228"/>
      <c r="HS87" s="228"/>
      <c r="HT87" s="228"/>
      <c r="HU87" s="228"/>
      <c r="HV87" s="228"/>
      <c r="HW87" s="228"/>
      <c r="HX87" s="228"/>
      <c r="HY87" s="228"/>
      <c r="HZ87" s="228"/>
      <c r="IA87" s="228"/>
      <c r="IB87" s="228"/>
      <c r="IC87" s="228"/>
      <c r="ID87" s="228"/>
      <c r="IE87" s="228"/>
      <c r="IF87" s="228"/>
      <c r="IG87" s="228"/>
      <c r="IH87" s="228"/>
      <c r="II87" s="228"/>
      <c r="IJ87" s="228"/>
      <c r="IK87" s="228"/>
      <c r="IL87" s="228"/>
      <c r="IM87" s="228"/>
      <c r="IN87" s="228"/>
      <c r="IO87" s="228"/>
      <c r="IP87" s="228"/>
      <c r="IQ87" s="228"/>
      <c r="IR87" s="228"/>
      <c r="IS87" s="228"/>
      <c r="IT87" s="228"/>
      <c r="IU87" s="228"/>
      <c r="IV87" s="228"/>
      <c r="IW87" s="228"/>
      <c r="IX87" s="228"/>
      <c r="IY87" s="228"/>
    </row>
    <row r="88" spans="2:260" x14ac:dyDescent="0.3">
      <c r="B88" s="137">
        <v>1</v>
      </c>
      <c r="C88" s="173">
        <f>+('CALCULO COSTOS E INVERSIONES'!G9+'CALCULO COSTOS E INVERSIONES'!G10+'CALCULO COSTOS E INVERSIONES'!G12+'CALCULO COSTOS E INVERSIONES'!G14+'CALCULO COSTOS E INVERSIONES'!G15+'CALCULO COSTOS E INVERSIONES'!G16+'CALCULO COSTOS E INVERSIONES'!G18+'CALCULO COSTOS E INVERSIONES'!G19+'CALCULO COSTOS E INVERSIONES'!G22+'CALCULO COSTOS E INVERSIONES'!G23+'CALCULO COSTOS E INVERSIONES'!G24)/5</f>
        <v>3891000</v>
      </c>
      <c r="D88" s="203">
        <f>+('CALCULO COSTOS E INVERSIONES'!G11+'CALCULO COSTOS E INVERSIONES'!G13+'CALCULO COSTOS E INVERSIONES'!G17+'CALCULO COSTOS E INVERSIONES'!G20+'CALCULO COSTOS E INVERSIONES'!G21)/10</f>
        <v>1125000</v>
      </c>
      <c r="E88" s="116"/>
      <c r="F88" s="103">
        <v>1</v>
      </c>
      <c r="G88" s="199">
        <f>+(C28-25000000)/C49</f>
        <v>3000000</v>
      </c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  <c r="DM88" s="116"/>
      <c r="DN88" s="116"/>
      <c r="DO88" s="116"/>
      <c r="DP88" s="116"/>
      <c r="DQ88" s="116"/>
      <c r="DR88" s="116"/>
      <c r="DS88" s="116"/>
      <c r="DT88" s="116"/>
      <c r="DU88" s="116"/>
      <c r="DV88" s="116"/>
      <c r="DW88" s="116"/>
      <c r="DX88" s="116"/>
      <c r="DY88" s="116"/>
      <c r="DZ88" s="116"/>
      <c r="EA88" s="116"/>
      <c r="EB88" s="116"/>
      <c r="EC88" s="116"/>
      <c r="ED88" s="116"/>
      <c r="EE88" s="116"/>
      <c r="EF88" s="116"/>
      <c r="EG88" s="116"/>
      <c r="EH88" s="116"/>
      <c r="EI88" s="116"/>
      <c r="EJ88" s="116"/>
      <c r="EK88" s="116"/>
      <c r="EL88" s="116"/>
      <c r="EM88" s="116"/>
      <c r="EN88" s="116"/>
      <c r="EO88" s="116"/>
      <c r="EP88" s="116"/>
      <c r="EQ88" s="116"/>
      <c r="ER88" s="116"/>
      <c r="ES88" s="116"/>
      <c r="ET88" s="116"/>
      <c r="EU88" s="116"/>
      <c r="EV88" s="116"/>
      <c r="EW88" s="116"/>
      <c r="EX88" s="116"/>
      <c r="EY88" s="116"/>
      <c r="EZ88" s="116"/>
      <c r="FA88" s="116"/>
      <c r="FB88" s="116"/>
      <c r="FC88" s="116"/>
      <c r="FD88" s="116"/>
      <c r="FE88" s="116"/>
      <c r="FF88" s="116"/>
      <c r="FG88" s="116"/>
      <c r="FH88" s="116"/>
      <c r="FI88" s="116"/>
      <c r="FJ88" s="116"/>
      <c r="FK88" s="116"/>
      <c r="FL88" s="116"/>
      <c r="FM88" s="116"/>
      <c r="FN88" s="116"/>
      <c r="FO88" s="116"/>
      <c r="FP88" s="116"/>
      <c r="FQ88" s="116"/>
      <c r="FR88" s="116"/>
      <c r="FS88" s="116"/>
      <c r="FT88" s="116"/>
      <c r="FU88" s="116"/>
      <c r="FV88" s="116"/>
      <c r="FW88" s="116"/>
      <c r="FX88" s="116"/>
      <c r="FY88" s="116"/>
      <c r="FZ88" s="116"/>
      <c r="GA88" s="116"/>
      <c r="GB88" s="116"/>
      <c r="GC88" s="116"/>
      <c r="GD88" s="116"/>
      <c r="GE88" s="116"/>
      <c r="GF88" s="116"/>
      <c r="GG88" s="116"/>
      <c r="GH88" s="116"/>
      <c r="GI88" s="116"/>
      <c r="GJ88" s="116"/>
      <c r="GK88" s="116"/>
      <c r="GL88" s="116"/>
      <c r="GM88" s="116"/>
      <c r="GN88" s="116"/>
      <c r="GO88" s="116"/>
      <c r="GP88" s="116"/>
      <c r="GQ88" s="116"/>
      <c r="GR88" s="116"/>
      <c r="GS88" s="116"/>
      <c r="GT88" s="116"/>
      <c r="GU88" s="116"/>
      <c r="GV88" s="116"/>
      <c r="GW88" s="116"/>
      <c r="GX88" s="116"/>
      <c r="GY88" s="116"/>
      <c r="GZ88" s="116"/>
      <c r="HA88" s="116"/>
      <c r="HB88" s="116"/>
      <c r="HC88" s="116"/>
      <c r="HD88" s="116"/>
      <c r="HE88" s="116"/>
      <c r="HF88" s="116"/>
      <c r="HG88" s="116"/>
      <c r="HH88" s="116"/>
      <c r="HI88" s="116"/>
      <c r="HJ88" s="116"/>
      <c r="HK88" s="116"/>
      <c r="HL88" s="116"/>
      <c r="HM88" s="116"/>
      <c r="HN88" s="116"/>
      <c r="HO88" s="116"/>
      <c r="HP88" s="116"/>
      <c r="HQ88" s="116"/>
      <c r="HR88" s="116"/>
      <c r="HS88" s="116"/>
      <c r="HT88" s="116"/>
      <c r="HU88" s="116"/>
      <c r="HV88" s="116"/>
      <c r="HW88" s="116"/>
      <c r="HX88" s="116"/>
      <c r="HY88" s="116"/>
      <c r="HZ88" s="116"/>
      <c r="IA88" s="116"/>
      <c r="IB88" s="116"/>
      <c r="IC88" s="116"/>
      <c r="ID88" s="116"/>
      <c r="IE88" s="116"/>
      <c r="IF88" s="116"/>
      <c r="IG88" s="116"/>
      <c r="IH88" s="116"/>
      <c r="II88" s="116"/>
      <c r="IJ88" s="116"/>
      <c r="IK88" s="116"/>
      <c r="IL88" s="116"/>
      <c r="IM88" s="116"/>
      <c r="IN88" s="116"/>
      <c r="IO88" s="116"/>
      <c r="IP88" s="116"/>
      <c r="IQ88" s="116"/>
      <c r="IR88" s="116"/>
      <c r="IS88" s="116"/>
      <c r="IT88" s="116"/>
      <c r="IU88" s="116"/>
      <c r="IV88" s="116"/>
      <c r="IW88" s="116"/>
      <c r="IX88" s="116"/>
      <c r="IY88" s="116"/>
    </row>
    <row r="89" spans="2:260" x14ac:dyDescent="0.3">
      <c r="B89" s="137">
        <v>2</v>
      </c>
      <c r="C89" s="173">
        <f>+C88</f>
        <v>3891000</v>
      </c>
      <c r="D89" s="203">
        <f>+D88</f>
        <v>1125000</v>
      </c>
      <c r="E89" s="116"/>
      <c r="F89" s="103">
        <v>2</v>
      </c>
      <c r="G89" s="199">
        <f>+G88</f>
        <v>3000000</v>
      </c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  <c r="CE89" s="116"/>
      <c r="CF89" s="116"/>
      <c r="CG89" s="116"/>
      <c r="CH89" s="116"/>
      <c r="CI89" s="116"/>
      <c r="CJ89" s="116"/>
      <c r="CK89" s="116"/>
      <c r="CL89" s="116"/>
      <c r="CM89" s="116"/>
      <c r="CN89" s="116"/>
      <c r="CO89" s="116"/>
      <c r="CP89" s="116"/>
      <c r="CQ89" s="116"/>
      <c r="CR89" s="116"/>
      <c r="CS89" s="116"/>
      <c r="CT89" s="116"/>
      <c r="CU89" s="116"/>
      <c r="CV89" s="116"/>
      <c r="CW89" s="116"/>
      <c r="CX89" s="116"/>
      <c r="CY89" s="116"/>
      <c r="CZ89" s="116"/>
      <c r="DA89" s="116"/>
      <c r="DB89" s="116"/>
      <c r="DC89" s="116"/>
      <c r="DD89" s="116"/>
      <c r="DE89" s="116"/>
      <c r="DF89" s="116"/>
      <c r="DG89" s="116"/>
      <c r="DH89" s="116"/>
      <c r="DI89" s="116"/>
      <c r="DJ89" s="116"/>
      <c r="DK89" s="116"/>
      <c r="DL89" s="116"/>
      <c r="DM89" s="116"/>
      <c r="DN89" s="116"/>
      <c r="DO89" s="116"/>
      <c r="DP89" s="116"/>
      <c r="DQ89" s="116"/>
      <c r="DR89" s="116"/>
      <c r="DS89" s="116"/>
      <c r="DT89" s="116"/>
      <c r="DU89" s="116"/>
      <c r="DV89" s="116"/>
      <c r="DW89" s="116"/>
      <c r="DX89" s="116"/>
      <c r="DY89" s="116"/>
      <c r="DZ89" s="116"/>
      <c r="EA89" s="116"/>
      <c r="EB89" s="116"/>
      <c r="EC89" s="116"/>
      <c r="ED89" s="116"/>
      <c r="EE89" s="116"/>
      <c r="EF89" s="116"/>
      <c r="EG89" s="116"/>
      <c r="EH89" s="116"/>
      <c r="EI89" s="116"/>
      <c r="EJ89" s="116"/>
      <c r="EK89" s="116"/>
      <c r="EL89" s="116"/>
      <c r="EM89" s="116"/>
      <c r="EN89" s="116"/>
      <c r="EO89" s="116"/>
      <c r="EP89" s="116"/>
      <c r="EQ89" s="116"/>
      <c r="ER89" s="116"/>
      <c r="ES89" s="116"/>
      <c r="ET89" s="116"/>
      <c r="EU89" s="116"/>
      <c r="EV89" s="116"/>
      <c r="EW89" s="116"/>
      <c r="EX89" s="116"/>
      <c r="EY89" s="116"/>
      <c r="EZ89" s="116"/>
      <c r="FA89" s="116"/>
      <c r="FB89" s="116"/>
      <c r="FC89" s="116"/>
      <c r="FD89" s="116"/>
      <c r="FE89" s="116"/>
      <c r="FF89" s="116"/>
      <c r="FG89" s="116"/>
      <c r="FH89" s="116"/>
      <c r="FI89" s="116"/>
      <c r="FJ89" s="116"/>
      <c r="FK89" s="116"/>
      <c r="FL89" s="116"/>
      <c r="FM89" s="116"/>
      <c r="FN89" s="116"/>
      <c r="FO89" s="116"/>
      <c r="FP89" s="116"/>
      <c r="FQ89" s="116"/>
      <c r="FR89" s="116"/>
      <c r="FS89" s="116"/>
      <c r="FT89" s="116"/>
      <c r="FU89" s="116"/>
      <c r="FV89" s="116"/>
      <c r="FW89" s="116"/>
      <c r="FX89" s="116"/>
      <c r="FY89" s="116"/>
      <c r="FZ89" s="116"/>
      <c r="GA89" s="116"/>
      <c r="GB89" s="116"/>
      <c r="GC89" s="116"/>
      <c r="GD89" s="116"/>
      <c r="GE89" s="116"/>
      <c r="GF89" s="116"/>
      <c r="GG89" s="116"/>
      <c r="GH89" s="116"/>
      <c r="GI89" s="116"/>
      <c r="GJ89" s="116"/>
      <c r="GK89" s="116"/>
      <c r="GL89" s="116"/>
      <c r="GM89" s="116"/>
      <c r="GN89" s="116"/>
      <c r="GO89" s="116"/>
      <c r="GP89" s="116"/>
      <c r="GQ89" s="116"/>
      <c r="GR89" s="116"/>
      <c r="GS89" s="116"/>
      <c r="GT89" s="116"/>
      <c r="GU89" s="116"/>
      <c r="GV89" s="116"/>
      <c r="GW89" s="116"/>
      <c r="GX89" s="116"/>
      <c r="GY89" s="116"/>
      <c r="GZ89" s="116"/>
      <c r="HA89" s="116"/>
      <c r="HB89" s="116"/>
      <c r="HC89" s="116"/>
      <c r="HD89" s="116"/>
      <c r="HE89" s="116"/>
      <c r="HF89" s="116"/>
      <c r="HG89" s="116"/>
      <c r="HH89" s="116"/>
      <c r="HI89" s="116"/>
      <c r="HJ89" s="116"/>
      <c r="HK89" s="116"/>
      <c r="HL89" s="116"/>
      <c r="HM89" s="116"/>
      <c r="HN89" s="116"/>
      <c r="HO89" s="116"/>
      <c r="HP89" s="116"/>
      <c r="HQ89" s="116"/>
      <c r="HR89" s="116"/>
      <c r="HS89" s="116"/>
      <c r="HT89" s="116"/>
      <c r="HU89" s="116"/>
      <c r="HV89" s="116"/>
      <c r="HW89" s="116"/>
      <c r="HX89" s="116"/>
      <c r="HY89" s="116"/>
      <c r="HZ89" s="116"/>
      <c r="IA89" s="116"/>
      <c r="IB89" s="116"/>
      <c r="IC89" s="116"/>
      <c r="ID89" s="116"/>
      <c r="IE89" s="116"/>
      <c r="IF89" s="116"/>
      <c r="IG89" s="116"/>
      <c r="IH89" s="116"/>
      <c r="II89" s="116"/>
      <c r="IJ89" s="116"/>
      <c r="IK89" s="116"/>
      <c r="IL89" s="116"/>
      <c r="IM89" s="116"/>
      <c r="IN89" s="116"/>
      <c r="IO89" s="116"/>
      <c r="IP89" s="116"/>
      <c r="IQ89" s="116"/>
      <c r="IR89" s="116"/>
      <c r="IS89" s="116"/>
      <c r="IT89" s="116"/>
      <c r="IU89" s="116"/>
      <c r="IV89" s="116"/>
      <c r="IW89" s="116"/>
      <c r="IX89" s="116"/>
      <c r="IY89" s="116"/>
    </row>
    <row r="90" spans="2:260" x14ac:dyDescent="0.3">
      <c r="B90" s="137">
        <v>3</v>
      </c>
      <c r="C90" s="173">
        <f t="shared" ref="C90:D92" si="14">+C89</f>
        <v>3891000</v>
      </c>
      <c r="D90" s="203">
        <f t="shared" si="14"/>
        <v>1125000</v>
      </c>
      <c r="E90" s="116"/>
      <c r="F90" s="103">
        <v>3</v>
      </c>
      <c r="G90" s="199">
        <f t="shared" ref="G90:G92" si="15">+G89</f>
        <v>3000000</v>
      </c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  <c r="CE90" s="116"/>
      <c r="CF90" s="116"/>
      <c r="CG90" s="116"/>
      <c r="CH90" s="116"/>
      <c r="CI90" s="116"/>
      <c r="CJ90" s="116"/>
      <c r="CK90" s="116"/>
      <c r="CL90" s="116"/>
      <c r="CM90" s="116"/>
      <c r="CN90" s="116"/>
      <c r="CO90" s="116"/>
      <c r="CP90" s="116"/>
      <c r="CQ90" s="116"/>
      <c r="CR90" s="116"/>
      <c r="CS90" s="116"/>
      <c r="CT90" s="116"/>
      <c r="CU90" s="116"/>
      <c r="CV90" s="116"/>
      <c r="CW90" s="116"/>
      <c r="CX90" s="116"/>
      <c r="CY90" s="116"/>
      <c r="CZ90" s="116"/>
      <c r="DA90" s="116"/>
      <c r="DB90" s="116"/>
      <c r="DC90" s="116"/>
      <c r="DD90" s="116"/>
      <c r="DE90" s="116"/>
      <c r="DF90" s="116"/>
      <c r="DG90" s="116"/>
      <c r="DH90" s="116"/>
      <c r="DI90" s="116"/>
      <c r="DJ90" s="116"/>
      <c r="DK90" s="116"/>
      <c r="DL90" s="116"/>
      <c r="DM90" s="116"/>
      <c r="DN90" s="116"/>
      <c r="DO90" s="116"/>
      <c r="DP90" s="116"/>
      <c r="DQ90" s="116"/>
      <c r="DR90" s="116"/>
      <c r="DS90" s="116"/>
      <c r="DT90" s="116"/>
      <c r="DU90" s="116"/>
      <c r="DV90" s="116"/>
      <c r="DW90" s="116"/>
      <c r="DX90" s="116"/>
      <c r="DY90" s="116"/>
      <c r="DZ90" s="116"/>
      <c r="EA90" s="116"/>
      <c r="EB90" s="116"/>
      <c r="EC90" s="116"/>
      <c r="ED90" s="116"/>
      <c r="EE90" s="116"/>
      <c r="EF90" s="116"/>
      <c r="EG90" s="116"/>
      <c r="EH90" s="116"/>
      <c r="EI90" s="116"/>
      <c r="EJ90" s="116"/>
      <c r="EK90" s="116"/>
      <c r="EL90" s="116"/>
      <c r="EM90" s="116"/>
      <c r="EN90" s="116"/>
      <c r="EO90" s="116"/>
      <c r="EP90" s="116"/>
      <c r="EQ90" s="116"/>
      <c r="ER90" s="116"/>
      <c r="ES90" s="116"/>
      <c r="ET90" s="116"/>
      <c r="EU90" s="116"/>
      <c r="EV90" s="116"/>
      <c r="EW90" s="116"/>
      <c r="EX90" s="116"/>
      <c r="EY90" s="116"/>
      <c r="EZ90" s="116"/>
      <c r="FA90" s="116"/>
      <c r="FB90" s="116"/>
      <c r="FC90" s="116"/>
      <c r="FD90" s="116"/>
      <c r="FE90" s="116"/>
      <c r="FF90" s="116"/>
      <c r="FG90" s="116"/>
      <c r="FH90" s="116"/>
      <c r="FI90" s="116"/>
      <c r="FJ90" s="116"/>
      <c r="FK90" s="116"/>
      <c r="FL90" s="116"/>
      <c r="FM90" s="116"/>
      <c r="FN90" s="116"/>
      <c r="FO90" s="116"/>
      <c r="FP90" s="116"/>
      <c r="FQ90" s="116"/>
      <c r="FR90" s="116"/>
      <c r="FS90" s="116"/>
      <c r="FT90" s="116"/>
      <c r="FU90" s="116"/>
      <c r="FV90" s="116"/>
      <c r="FW90" s="116"/>
      <c r="FX90" s="116"/>
      <c r="FY90" s="116"/>
      <c r="FZ90" s="116"/>
      <c r="GA90" s="116"/>
      <c r="GB90" s="116"/>
      <c r="GC90" s="116"/>
      <c r="GD90" s="116"/>
      <c r="GE90" s="116"/>
      <c r="GF90" s="116"/>
      <c r="GG90" s="116"/>
      <c r="GH90" s="116"/>
      <c r="GI90" s="116"/>
      <c r="GJ90" s="116"/>
      <c r="GK90" s="116"/>
      <c r="GL90" s="116"/>
      <c r="GM90" s="116"/>
      <c r="GN90" s="116"/>
      <c r="GO90" s="116"/>
      <c r="GP90" s="116"/>
      <c r="GQ90" s="116"/>
      <c r="GR90" s="116"/>
      <c r="GS90" s="116"/>
      <c r="GT90" s="116"/>
      <c r="GU90" s="116"/>
      <c r="GV90" s="116"/>
      <c r="GW90" s="116"/>
      <c r="GX90" s="116"/>
      <c r="GY90" s="116"/>
      <c r="GZ90" s="116"/>
      <c r="HA90" s="116"/>
      <c r="HB90" s="116"/>
      <c r="HC90" s="116"/>
      <c r="HD90" s="116"/>
      <c r="HE90" s="116"/>
      <c r="HF90" s="116"/>
      <c r="HG90" s="116"/>
      <c r="HH90" s="116"/>
      <c r="HI90" s="116"/>
      <c r="HJ90" s="116"/>
      <c r="HK90" s="116"/>
      <c r="HL90" s="116"/>
      <c r="HM90" s="116"/>
      <c r="HN90" s="116"/>
      <c r="HO90" s="116"/>
      <c r="HP90" s="116"/>
      <c r="HQ90" s="116"/>
      <c r="HR90" s="116"/>
      <c r="HS90" s="116"/>
      <c r="HT90" s="116"/>
      <c r="HU90" s="116"/>
      <c r="HV90" s="116"/>
      <c r="HW90" s="116"/>
      <c r="HX90" s="116"/>
      <c r="HY90" s="116"/>
      <c r="HZ90" s="116"/>
      <c r="IA90" s="116"/>
      <c r="IB90" s="116"/>
      <c r="IC90" s="116"/>
      <c r="ID90" s="116"/>
      <c r="IE90" s="116"/>
      <c r="IF90" s="116"/>
      <c r="IG90" s="116"/>
      <c r="IH90" s="116"/>
      <c r="II90" s="116"/>
      <c r="IJ90" s="116"/>
      <c r="IK90" s="116"/>
      <c r="IL90" s="116"/>
      <c r="IM90" s="116"/>
      <c r="IN90" s="116"/>
      <c r="IO90" s="116"/>
      <c r="IP90" s="116"/>
      <c r="IQ90" s="116"/>
      <c r="IR90" s="116"/>
      <c r="IS90" s="116"/>
      <c r="IT90" s="116"/>
      <c r="IU90" s="116"/>
      <c r="IV90" s="116"/>
      <c r="IW90" s="116"/>
      <c r="IX90" s="116"/>
      <c r="IY90" s="116"/>
    </row>
    <row r="91" spans="2:260" x14ac:dyDescent="0.3">
      <c r="B91" s="137">
        <v>4</v>
      </c>
      <c r="C91" s="173">
        <f t="shared" si="14"/>
        <v>3891000</v>
      </c>
      <c r="D91" s="203">
        <f t="shared" si="14"/>
        <v>1125000</v>
      </c>
      <c r="E91" s="116"/>
      <c r="F91" s="103">
        <v>4</v>
      </c>
      <c r="G91" s="199">
        <f t="shared" si="15"/>
        <v>3000000</v>
      </c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16"/>
      <c r="CG91" s="116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6"/>
      <c r="DA91" s="116"/>
      <c r="DB91" s="116"/>
      <c r="DC91" s="116"/>
      <c r="DD91" s="116"/>
      <c r="DE91" s="116"/>
      <c r="DF91" s="116"/>
      <c r="DG91" s="116"/>
      <c r="DH91" s="116"/>
      <c r="DI91" s="116"/>
      <c r="DJ91" s="116"/>
      <c r="DK91" s="116"/>
      <c r="DL91" s="116"/>
      <c r="DM91" s="116"/>
      <c r="DN91" s="116"/>
      <c r="DO91" s="116"/>
      <c r="DP91" s="116"/>
      <c r="DQ91" s="116"/>
      <c r="DR91" s="116"/>
      <c r="DS91" s="116"/>
      <c r="DT91" s="116"/>
      <c r="DU91" s="116"/>
      <c r="DV91" s="116"/>
      <c r="DW91" s="116"/>
      <c r="DX91" s="116"/>
      <c r="DY91" s="116"/>
      <c r="DZ91" s="116"/>
      <c r="EA91" s="116"/>
      <c r="EB91" s="116"/>
      <c r="EC91" s="116"/>
      <c r="ED91" s="116"/>
      <c r="EE91" s="116"/>
      <c r="EF91" s="116"/>
      <c r="EG91" s="116"/>
      <c r="EH91" s="116"/>
      <c r="EI91" s="116"/>
      <c r="EJ91" s="116"/>
      <c r="EK91" s="116"/>
      <c r="EL91" s="116"/>
      <c r="EM91" s="116"/>
      <c r="EN91" s="116"/>
      <c r="EO91" s="116"/>
      <c r="EP91" s="116"/>
      <c r="EQ91" s="116"/>
      <c r="ER91" s="116"/>
      <c r="ES91" s="116"/>
      <c r="ET91" s="116"/>
      <c r="EU91" s="116"/>
      <c r="EV91" s="116"/>
      <c r="EW91" s="116"/>
      <c r="EX91" s="116"/>
      <c r="EY91" s="116"/>
      <c r="EZ91" s="116"/>
      <c r="FA91" s="116"/>
      <c r="FB91" s="116"/>
      <c r="FC91" s="116"/>
      <c r="FD91" s="116"/>
      <c r="FE91" s="116"/>
      <c r="FF91" s="116"/>
      <c r="FG91" s="116"/>
      <c r="FH91" s="116"/>
      <c r="FI91" s="116"/>
      <c r="FJ91" s="116"/>
      <c r="FK91" s="116"/>
      <c r="FL91" s="116"/>
      <c r="FM91" s="116"/>
      <c r="FN91" s="116"/>
      <c r="FO91" s="116"/>
      <c r="FP91" s="116"/>
      <c r="FQ91" s="116"/>
      <c r="FR91" s="116"/>
      <c r="FS91" s="116"/>
      <c r="FT91" s="116"/>
      <c r="FU91" s="116"/>
      <c r="FV91" s="116"/>
      <c r="FW91" s="116"/>
      <c r="FX91" s="116"/>
      <c r="FY91" s="116"/>
      <c r="FZ91" s="116"/>
      <c r="GA91" s="116"/>
      <c r="GB91" s="116"/>
      <c r="GC91" s="116"/>
      <c r="GD91" s="116"/>
      <c r="GE91" s="116"/>
      <c r="GF91" s="116"/>
      <c r="GG91" s="116"/>
      <c r="GH91" s="116"/>
      <c r="GI91" s="116"/>
      <c r="GJ91" s="116"/>
      <c r="GK91" s="116"/>
      <c r="GL91" s="116"/>
      <c r="GM91" s="116"/>
      <c r="GN91" s="116"/>
      <c r="GO91" s="116"/>
      <c r="GP91" s="116"/>
      <c r="GQ91" s="116"/>
      <c r="GR91" s="116"/>
      <c r="GS91" s="116"/>
      <c r="GT91" s="116"/>
      <c r="GU91" s="116"/>
      <c r="GV91" s="116"/>
      <c r="GW91" s="116"/>
      <c r="GX91" s="116"/>
      <c r="GY91" s="116"/>
      <c r="GZ91" s="116"/>
      <c r="HA91" s="116"/>
      <c r="HB91" s="116"/>
      <c r="HC91" s="116"/>
      <c r="HD91" s="116"/>
      <c r="HE91" s="116"/>
      <c r="HF91" s="116"/>
      <c r="HG91" s="116"/>
      <c r="HH91" s="116"/>
      <c r="HI91" s="116"/>
      <c r="HJ91" s="116"/>
      <c r="HK91" s="116"/>
      <c r="HL91" s="116"/>
      <c r="HM91" s="116"/>
      <c r="HN91" s="116"/>
      <c r="HO91" s="116"/>
      <c r="HP91" s="116"/>
      <c r="HQ91" s="116"/>
      <c r="HR91" s="116"/>
      <c r="HS91" s="116"/>
      <c r="HT91" s="116"/>
      <c r="HU91" s="116"/>
      <c r="HV91" s="116"/>
      <c r="HW91" s="116"/>
      <c r="HX91" s="116"/>
      <c r="HY91" s="116"/>
      <c r="HZ91" s="116"/>
      <c r="IA91" s="116"/>
      <c r="IB91" s="116"/>
      <c r="IC91" s="116"/>
      <c r="ID91" s="116"/>
      <c r="IE91" s="116"/>
      <c r="IF91" s="116"/>
      <c r="IG91" s="116"/>
      <c r="IH91" s="116"/>
      <c r="II91" s="116"/>
      <c r="IJ91" s="116"/>
      <c r="IK91" s="116"/>
      <c r="IL91" s="116"/>
      <c r="IM91" s="116"/>
      <c r="IN91" s="116"/>
      <c r="IO91" s="116"/>
      <c r="IP91" s="116"/>
      <c r="IQ91" s="116"/>
      <c r="IR91" s="116"/>
      <c r="IS91" s="116"/>
      <c r="IT91" s="116"/>
      <c r="IU91" s="116"/>
      <c r="IV91" s="116"/>
      <c r="IW91" s="116"/>
      <c r="IX91" s="116"/>
      <c r="IY91" s="116"/>
    </row>
    <row r="92" spans="2:260" x14ac:dyDescent="0.3">
      <c r="B92" s="137">
        <v>5</v>
      </c>
      <c r="C92" s="173">
        <f t="shared" si="14"/>
        <v>3891000</v>
      </c>
      <c r="D92" s="203">
        <f t="shared" si="14"/>
        <v>1125000</v>
      </c>
      <c r="E92" s="116"/>
      <c r="F92" s="103">
        <v>5</v>
      </c>
      <c r="G92" s="199">
        <f t="shared" si="15"/>
        <v>3000000</v>
      </c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  <c r="CE92" s="116"/>
      <c r="CF92" s="116"/>
      <c r="CG92" s="116"/>
      <c r="CH92" s="116"/>
      <c r="CI92" s="116"/>
      <c r="CJ92" s="116"/>
      <c r="CK92" s="116"/>
      <c r="CL92" s="116"/>
      <c r="CM92" s="116"/>
      <c r="CN92" s="116"/>
      <c r="CO92" s="116"/>
      <c r="CP92" s="116"/>
      <c r="CQ92" s="116"/>
      <c r="CR92" s="116"/>
      <c r="CS92" s="116"/>
      <c r="CT92" s="116"/>
      <c r="CU92" s="116"/>
      <c r="CV92" s="116"/>
      <c r="CW92" s="116"/>
      <c r="CX92" s="116"/>
      <c r="CY92" s="116"/>
      <c r="CZ92" s="116"/>
      <c r="DA92" s="116"/>
      <c r="DB92" s="116"/>
      <c r="DC92" s="116"/>
      <c r="DD92" s="116"/>
      <c r="DE92" s="116"/>
      <c r="DF92" s="116"/>
      <c r="DG92" s="116"/>
      <c r="DH92" s="116"/>
      <c r="DI92" s="116"/>
      <c r="DJ92" s="116"/>
      <c r="DK92" s="116"/>
      <c r="DL92" s="116"/>
      <c r="DM92" s="116"/>
      <c r="DN92" s="116"/>
      <c r="DO92" s="116"/>
      <c r="DP92" s="116"/>
      <c r="DQ92" s="116"/>
      <c r="DR92" s="116"/>
      <c r="DS92" s="116"/>
      <c r="DT92" s="116"/>
      <c r="DU92" s="116"/>
      <c r="DV92" s="116"/>
      <c r="DW92" s="116"/>
      <c r="DX92" s="116"/>
      <c r="DY92" s="116"/>
      <c r="DZ92" s="116"/>
      <c r="EA92" s="116"/>
      <c r="EB92" s="116"/>
      <c r="EC92" s="116"/>
      <c r="ED92" s="116"/>
      <c r="EE92" s="116"/>
      <c r="EF92" s="116"/>
      <c r="EG92" s="116"/>
      <c r="EH92" s="116"/>
      <c r="EI92" s="116"/>
      <c r="EJ92" s="116"/>
      <c r="EK92" s="116"/>
      <c r="EL92" s="116"/>
      <c r="EM92" s="116"/>
      <c r="EN92" s="116"/>
      <c r="EO92" s="116"/>
      <c r="EP92" s="116"/>
      <c r="EQ92" s="116"/>
      <c r="ER92" s="116"/>
      <c r="ES92" s="116"/>
      <c r="ET92" s="116"/>
      <c r="EU92" s="116"/>
      <c r="EV92" s="116"/>
      <c r="EW92" s="116"/>
      <c r="EX92" s="116"/>
      <c r="EY92" s="116"/>
      <c r="EZ92" s="116"/>
      <c r="FA92" s="116"/>
      <c r="FB92" s="116"/>
      <c r="FC92" s="116"/>
      <c r="FD92" s="116"/>
      <c r="FE92" s="116"/>
      <c r="FF92" s="116"/>
      <c r="FG92" s="116"/>
      <c r="FH92" s="116"/>
      <c r="FI92" s="116"/>
      <c r="FJ92" s="116"/>
      <c r="FK92" s="116"/>
      <c r="FL92" s="116"/>
      <c r="FM92" s="116"/>
      <c r="FN92" s="116"/>
      <c r="FO92" s="116"/>
      <c r="FP92" s="116"/>
      <c r="FQ92" s="116"/>
      <c r="FR92" s="116"/>
      <c r="FS92" s="116"/>
      <c r="FT92" s="116"/>
      <c r="FU92" s="116"/>
      <c r="FV92" s="116"/>
      <c r="FW92" s="116"/>
      <c r="FX92" s="116"/>
      <c r="FY92" s="116"/>
      <c r="FZ92" s="116"/>
      <c r="GA92" s="116"/>
      <c r="GB92" s="116"/>
      <c r="GC92" s="116"/>
      <c r="GD92" s="116"/>
      <c r="GE92" s="116"/>
      <c r="GF92" s="116"/>
      <c r="GG92" s="116"/>
      <c r="GH92" s="116"/>
      <c r="GI92" s="116"/>
      <c r="GJ92" s="116"/>
      <c r="GK92" s="116"/>
      <c r="GL92" s="116"/>
      <c r="GM92" s="116"/>
      <c r="GN92" s="116"/>
      <c r="GO92" s="116"/>
      <c r="GP92" s="116"/>
      <c r="GQ92" s="116"/>
      <c r="GR92" s="116"/>
      <c r="GS92" s="116"/>
      <c r="GT92" s="116"/>
      <c r="GU92" s="116"/>
      <c r="GV92" s="116"/>
      <c r="GW92" s="116"/>
      <c r="GX92" s="116"/>
      <c r="GY92" s="116"/>
      <c r="GZ92" s="116"/>
      <c r="HA92" s="116"/>
      <c r="HB92" s="116"/>
      <c r="HC92" s="116"/>
      <c r="HD92" s="116"/>
      <c r="HE92" s="116"/>
      <c r="HF92" s="116"/>
      <c r="HG92" s="116"/>
      <c r="HH92" s="116"/>
      <c r="HI92" s="116"/>
      <c r="HJ92" s="116"/>
      <c r="HK92" s="116"/>
      <c r="HL92" s="116"/>
      <c r="HM92" s="116"/>
      <c r="HN92" s="116"/>
      <c r="HO92" s="116"/>
      <c r="HP92" s="116"/>
      <c r="HQ92" s="116"/>
      <c r="HR92" s="116"/>
      <c r="HS92" s="116"/>
      <c r="HT92" s="116"/>
      <c r="HU92" s="116"/>
      <c r="HV92" s="116"/>
      <c r="HW92" s="116"/>
      <c r="HX92" s="116"/>
      <c r="HY92" s="116"/>
      <c r="HZ92" s="116"/>
      <c r="IA92" s="116"/>
      <c r="IB92" s="116"/>
      <c r="IC92" s="116"/>
      <c r="ID92" s="116"/>
      <c r="IE92" s="116"/>
      <c r="IF92" s="116"/>
      <c r="IG92" s="116"/>
      <c r="IH92" s="116"/>
      <c r="II92" s="116"/>
      <c r="IJ92" s="116"/>
      <c r="IK92" s="116"/>
      <c r="IL92" s="116"/>
      <c r="IM92" s="116"/>
      <c r="IN92" s="116"/>
      <c r="IO92" s="116"/>
      <c r="IP92" s="116"/>
      <c r="IQ92" s="116"/>
      <c r="IR92" s="116"/>
      <c r="IS92" s="116"/>
      <c r="IT92" s="116"/>
      <c r="IU92" s="116"/>
      <c r="IV92" s="116"/>
      <c r="IW92" s="116"/>
      <c r="IX92" s="116"/>
      <c r="IY92" s="116"/>
    </row>
    <row r="93" spans="2:260" x14ac:dyDescent="0.3">
      <c r="B93" s="135"/>
      <c r="C93" s="204"/>
      <c r="D93" s="116"/>
      <c r="E93" s="205"/>
      <c r="F93" s="135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  <c r="DC93" s="116"/>
      <c r="DD93" s="116"/>
      <c r="DE93" s="116"/>
      <c r="DF93" s="116"/>
      <c r="DG93" s="116"/>
      <c r="DH93" s="116"/>
      <c r="DI93" s="116"/>
      <c r="DJ93" s="116"/>
      <c r="DK93" s="116"/>
      <c r="DL93" s="116"/>
      <c r="DM93" s="116"/>
      <c r="DN93" s="116"/>
      <c r="DO93" s="116"/>
      <c r="DP93" s="116"/>
      <c r="DQ93" s="116"/>
      <c r="DR93" s="116"/>
      <c r="DS93" s="116"/>
      <c r="DT93" s="116"/>
      <c r="DU93" s="116"/>
      <c r="DV93" s="116"/>
      <c r="DW93" s="116"/>
      <c r="DX93" s="116"/>
      <c r="DY93" s="116"/>
      <c r="DZ93" s="116"/>
      <c r="EA93" s="116"/>
      <c r="EB93" s="116"/>
      <c r="EC93" s="116"/>
      <c r="ED93" s="116"/>
      <c r="EE93" s="116"/>
      <c r="EF93" s="116"/>
      <c r="EG93" s="116"/>
      <c r="EH93" s="116"/>
      <c r="EI93" s="116"/>
      <c r="EJ93" s="116"/>
      <c r="EK93" s="116"/>
      <c r="EL93" s="116"/>
      <c r="EM93" s="116"/>
      <c r="EN93" s="116"/>
      <c r="EO93" s="116"/>
      <c r="EP93" s="116"/>
      <c r="EQ93" s="116"/>
      <c r="ER93" s="116"/>
      <c r="ES93" s="116"/>
      <c r="ET93" s="116"/>
      <c r="EU93" s="116"/>
      <c r="EV93" s="116"/>
      <c r="EW93" s="116"/>
      <c r="EX93" s="116"/>
      <c r="EY93" s="116"/>
      <c r="EZ93" s="116"/>
      <c r="FA93" s="116"/>
      <c r="FB93" s="116"/>
      <c r="FC93" s="116"/>
      <c r="FD93" s="116"/>
      <c r="FE93" s="116"/>
      <c r="FF93" s="116"/>
      <c r="FG93" s="116"/>
      <c r="FH93" s="116"/>
      <c r="FI93" s="116"/>
      <c r="FJ93" s="116"/>
      <c r="FK93" s="116"/>
      <c r="FL93" s="116"/>
      <c r="FM93" s="116"/>
      <c r="FN93" s="116"/>
      <c r="FO93" s="116"/>
      <c r="FP93" s="116"/>
      <c r="FQ93" s="116"/>
      <c r="FR93" s="116"/>
      <c r="FS93" s="116"/>
      <c r="FT93" s="116"/>
      <c r="FU93" s="116"/>
      <c r="FV93" s="116"/>
      <c r="FW93" s="116"/>
      <c r="FX93" s="116"/>
      <c r="FY93" s="116"/>
      <c r="FZ93" s="116"/>
      <c r="GA93" s="116"/>
      <c r="GB93" s="116"/>
      <c r="GC93" s="116"/>
      <c r="GD93" s="116"/>
      <c r="GE93" s="116"/>
      <c r="GF93" s="116"/>
      <c r="GG93" s="116"/>
      <c r="GH93" s="116"/>
      <c r="GI93" s="116"/>
      <c r="GJ93" s="116"/>
      <c r="GK93" s="116"/>
      <c r="GL93" s="116"/>
      <c r="GM93" s="116"/>
      <c r="GN93" s="116"/>
      <c r="GO93" s="116"/>
      <c r="GP93" s="116"/>
      <c r="GQ93" s="116"/>
      <c r="GR93" s="116"/>
      <c r="GS93" s="116"/>
      <c r="GT93" s="116"/>
      <c r="GU93" s="116"/>
      <c r="GV93" s="116"/>
      <c r="GW93" s="116"/>
      <c r="GX93" s="116"/>
      <c r="GY93" s="116"/>
      <c r="GZ93" s="116"/>
      <c r="HA93" s="116"/>
      <c r="HB93" s="116"/>
      <c r="HC93" s="116"/>
      <c r="HD93" s="116"/>
      <c r="HE93" s="116"/>
      <c r="HF93" s="116"/>
      <c r="HG93" s="116"/>
      <c r="HH93" s="116"/>
      <c r="HI93" s="116"/>
      <c r="HJ93" s="116"/>
      <c r="HK93" s="116"/>
      <c r="HL93" s="116"/>
      <c r="HM93" s="116"/>
      <c r="HN93" s="116"/>
      <c r="HO93" s="116"/>
      <c r="HP93" s="116"/>
      <c r="HQ93" s="116"/>
      <c r="HR93" s="116"/>
      <c r="HS93" s="116"/>
      <c r="HT93" s="116"/>
      <c r="HU93" s="116"/>
      <c r="HV93" s="116"/>
      <c r="HW93" s="116"/>
      <c r="HX93" s="116"/>
      <c r="HY93" s="116"/>
      <c r="HZ93" s="116"/>
      <c r="IA93" s="116"/>
      <c r="IB93" s="116"/>
      <c r="IC93" s="116"/>
      <c r="ID93" s="116"/>
      <c r="IE93" s="116"/>
      <c r="IF93" s="116"/>
      <c r="IG93" s="116"/>
      <c r="IH93" s="116"/>
      <c r="II93" s="116"/>
      <c r="IJ93" s="116"/>
      <c r="IK93" s="116"/>
      <c r="IL93" s="116"/>
      <c r="IM93" s="116"/>
      <c r="IN93" s="116"/>
      <c r="IO93" s="116"/>
      <c r="IP93" s="116"/>
      <c r="IQ93" s="116"/>
      <c r="IR93" s="116"/>
      <c r="IS93" s="116"/>
      <c r="IT93" s="116"/>
      <c r="IU93" s="116"/>
      <c r="IV93" s="116"/>
      <c r="IW93" s="116"/>
      <c r="IX93" s="116"/>
      <c r="IY93" s="116"/>
      <c r="IZ93" s="116"/>
    </row>
    <row r="94" spans="2:260" x14ac:dyDescent="0.3">
      <c r="B94" s="373" t="s">
        <v>172</v>
      </c>
      <c r="C94" s="373"/>
      <c r="D94" s="373"/>
      <c r="E94" s="373"/>
      <c r="F94" s="373"/>
      <c r="G94" s="373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  <c r="CE94" s="116"/>
      <c r="CF94" s="116"/>
      <c r="CG94" s="11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  <c r="DC94" s="116"/>
      <c r="DD94" s="116"/>
      <c r="DE94" s="116"/>
      <c r="DF94" s="116"/>
      <c r="DG94" s="116"/>
      <c r="DH94" s="116"/>
      <c r="DI94" s="116"/>
      <c r="DJ94" s="116"/>
      <c r="DK94" s="116"/>
      <c r="DL94" s="116"/>
      <c r="DM94" s="116"/>
      <c r="DN94" s="116"/>
      <c r="DO94" s="116"/>
      <c r="DP94" s="116"/>
      <c r="DQ94" s="116"/>
      <c r="DR94" s="116"/>
      <c r="DS94" s="116"/>
      <c r="DT94" s="116"/>
      <c r="DU94" s="116"/>
      <c r="DV94" s="116"/>
      <c r="DW94" s="116"/>
      <c r="DX94" s="116"/>
      <c r="DY94" s="116"/>
      <c r="DZ94" s="116"/>
      <c r="EA94" s="116"/>
      <c r="EB94" s="116"/>
      <c r="EC94" s="116"/>
      <c r="ED94" s="116"/>
      <c r="EE94" s="116"/>
      <c r="EF94" s="116"/>
      <c r="EG94" s="116"/>
      <c r="EH94" s="116"/>
      <c r="EI94" s="116"/>
      <c r="EJ94" s="116"/>
      <c r="EK94" s="116"/>
      <c r="EL94" s="116"/>
      <c r="EM94" s="116"/>
      <c r="EN94" s="116"/>
      <c r="EO94" s="116"/>
      <c r="EP94" s="116"/>
      <c r="EQ94" s="116"/>
      <c r="ER94" s="116"/>
      <c r="ES94" s="116"/>
      <c r="ET94" s="116"/>
      <c r="EU94" s="116"/>
      <c r="EV94" s="116"/>
      <c r="EW94" s="116"/>
      <c r="EX94" s="116"/>
      <c r="EY94" s="116"/>
      <c r="EZ94" s="116"/>
      <c r="FA94" s="116"/>
      <c r="FB94" s="116"/>
      <c r="FC94" s="116"/>
      <c r="FD94" s="116"/>
      <c r="FE94" s="116"/>
      <c r="FF94" s="116"/>
      <c r="FG94" s="116"/>
      <c r="FH94" s="116"/>
      <c r="FI94" s="116"/>
      <c r="FJ94" s="116"/>
      <c r="FK94" s="116"/>
      <c r="FL94" s="116"/>
      <c r="FM94" s="116"/>
      <c r="FN94" s="116"/>
      <c r="FO94" s="116"/>
      <c r="FP94" s="116"/>
      <c r="FQ94" s="116"/>
      <c r="FR94" s="116"/>
      <c r="FS94" s="116"/>
      <c r="FT94" s="116"/>
      <c r="FU94" s="116"/>
      <c r="FV94" s="116"/>
      <c r="FW94" s="116"/>
      <c r="FX94" s="116"/>
      <c r="FY94" s="116"/>
      <c r="FZ94" s="116"/>
      <c r="GA94" s="116"/>
      <c r="GB94" s="116"/>
      <c r="GC94" s="116"/>
      <c r="GD94" s="116"/>
      <c r="GE94" s="116"/>
      <c r="GF94" s="116"/>
      <c r="GG94" s="116"/>
      <c r="GH94" s="116"/>
      <c r="GI94" s="116"/>
      <c r="GJ94" s="116"/>
      <c r="GK94" s="116"/>
      <c r="GL94" s="116"/>
      <c r="GM94" s="116"/>
      <c r="GN94" s="116"/>
      <c r="GO94" s="116"/>
      <c r="GP94" s="116"/>
      <c r="GQ94" s="116"/>
      <c r="GR94" s="116"/>
      <c r="GS94" s="116"/>
      <c r="GT94" s="116"/>
      <c r="GU94" s="116"/>
      <c r="GV94" s="116"/>
      <c r="GW94" s="116"/>
      <c r="GX94" s="116"/>
      <c r="GY94" s="116"/>
      <c r="GZ94" s="116"/>
      <c r="HA94" s="116"/>
      <c r="HB94" s="116"/>
      <c r="HC94" s="116"/>
      <c r="HD94" s="116"/>
      <c r="HE94" s="116"/>
      <c r="HF94" s="116"/>
      <c r="HG94" s="116"/>
      <c r="HH94" s="116"/>
      <c r="HI94" s="116"/>
      <c r="HJ94" s="116"/>
      <c r="HK94" s="116"/>
      <c r="HL94" s="116"/>
      <c r="HM94" s="116"/>
      <c r="HN94" s="116"/>
      <c r="HO94" s="116"/>
      <c r="HP94" s="116"/>
      <c r="HQ94" s="116"/>
      <c r="HR94" s="116"/>
      <c r="HS94" s="116"/>
      <c r="HT94" s="116"/>
      <c r="HU94" s="116"/>
      <c r="HV94" s="116"/>
      <c r="HW94" s="116"/>
      <c r="HX94" s="116"/>
      <c r="HY94" s="116"/>
      <c r="HZ94" s="116"/>
      <c r="IA94" s="116"/>
      <c r="IB94" s="116"/>
      <c r="IC94" s="116"/>
      <c r="ID94" s="116"/>
      <c r="IE94" s="116"/>
      <c r="IF94" s="116"/>
      <c r="IG94" s="116"/>
      <c r="IH94" s="116"/>
      <c r="II94" s="116"/>
      <c r="IJ94" s="116"/>
      <c r="IK94" s="116"/>
      <c r="IL94" s="116"/>
      <c r="IM94" s="116"/>
      <c r="IN94" s="116"/>
      <c r="IO94" s="116"/>
      <c r="IP94" s="116"/>
      <c r="IQ94" s="116"/>
      <c r="IR94" s="116"/>
      <c r="IS94" s="116"/>
      <c r="IT94" s="116"/>
      <c r="IU94" s="116"/>
      <c r="IV94" s="116"/>
      <c r="IW94" s="116"/>
      <c r="IX94" s="116"/>
      <c r="IY94" s="116"/>
      <c r="IZ94" s="116"/>
    </row>
    <row r="95" spans="2:260" x14ac:dyDescent="0.3">
      <c r="B95" s="373" t="s">
        <v>179</v>
      </c>
      <c r="C95" s="373"/>
      <c r="D95" s="373"/>
      <c r="E95" s="373"/>
      <c r="F95" s="373"/>
      <c r="G95" s="373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  <c r="CG95" s="116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  <c r="DC95" s="116"/>
      <c r="DD95" s="116"/>
      <c r="DE95" s="116"/>
      <c r="DF95" s="116"/>
      <c r="DG95" s="116"/>
      <c r="DH95" s="116"/>
      <c r="DI95" s="116"/>
      <c r="DJ95" s="116"/>
      <c r="DK95" s="116"/>
      <c r="DL95" s="116"/>
      <c r="DM95" s="116"/>
      <c r="DN95" s="116"/>
      <c r="DO95" s="116"/>
      <c r="DP95" s="116"/>
      <c r="DQ95" s="116"/>
      <c r="DR95" s="116"/>
      <c r="DS95" s="116"/>
      <c r="DT95" s="116"/>
      <c r="DU95" s="116"/>
      <c r="DV95" s="116"/>
      <c r="DW95" s="116"/>
      <c r="DX95" s="116"/>
      <c r="DY95" s="116"/>
      <c r="DZ95" s="116"/>
      <c r="EA95" s="116"/>
      <c r="EB95" s="116"/>
      <c r="EC95" s="116"/>
      <c r="ED95" s="116"/>
      <c r="EE95" s="116"/>
      <c r="EF95" s="116"/>
      <c r="EG95" s="116"/>
      <c r="EH95" s="116"/>
      <c r="EI95" s="116"/>
      <c r="EJ95" s="116"/>
      <c r="EK95" s="116"/>
      <c r="EL95" s="116"/>
      <c r="EM95" s="116"/>
      <c r="EN95" s="116"/>
      <c r="EO95" s="116"/>
      <c r="EP95" s="116"/>
      <c r="EQ95" s="116"/>
      <c r="ER95" s="116"/>
      <c r="ES95" s="116"/>
      <c r="ET95" s="116"/>
      <c r="EU95" s="116"/>
      <c r="EV95" s="116"/>
      <c r="EW95" s="116"/>
      <c r="EX95" s="116"/>
      <c r="EY95" s="116"/>
      <c r="EZ95" s="116"/>
      <c r="FA95" s="116"/>
      <c r="FB95" s="116"/>
      <c r="FC95" s="116"/>
      <c r="FD95" s="116"/>
      <c r="FE95" s="116"/>
      <c r="FF95" s="116"/>
      <c r="FG95" s="116"/>
      <c r="FH95" s="116"/>
      <c r="FI95" s="116"/>
      <c r="FJ95" s="116"/>
      <c r="FK95" s="116"/>
      <c r="FL95" s="116"/>
      <c r="FM95" s="116"/>
      <c r="FN95" s="116"/>
      <c r="FO95" s="116"/>
      <c r="FP95" s="116"/>
      <c r="FQ95" s="116"/>
      <c r="FR95" s="116"/>
      <c r="FS95" s="116"/>
      <c r="FT95" s="116"/>
      <c r="FU95" s="116"/>
      <c r="FV95" s="116"/>
      <c r="FW95" s="116"/>
      <c r="FX95" s="116"/>
      <c r="FY95" s="116"/>
      <c r="FZ95" s="116"/>
      <c r="GA95" s="116"/>
      <c r="GB95" s="116"/>
      <c r="GC95" s="116"/>
      <c r="GD95" s="116"/>
      <c r="GE95" s="116"/>
      <c r="GF95" s="116"/>
      <c r="GG95" s="116"/>
      <c r="GH95" s="116"/>
      <c r="GI95" s="116"/>
      <c r="GJ95" s="116"/>
      <c r="GK95" s="116"/>
      <c r="GL95" s="116"/>
      <c r="GM95" s="116"/>
      <c r="GN95" s="116"/>
      <c r="GO95" s="116"/>
      <c r="GP95" s="116"/>
      <c r="GQ95" s="116"/>
      <c r="GR95" s="116"/>
      <c r="GS95" s="116"/>
      <c r="GT95" s="116"/>
      <c r="GU95" s="116"/>
      <c r="GV95" s="116"/>
      <c r="GW95" s="116"/>
      <c r="GX95" s="116"/>
      <c r="GY95" s="116"/>
      <c r="GZ95" s="116"/>
      <c r="HA95" s="116"/>
      <c r="HB95" s="116"/>
      <c r="HC95" s="116"/>
      <c r="HD95" s="116"/>
      <c r="HE95" s="116"/>
      <c r="HF95" s="116"/>
      <c r="HG95" s="116"/>
      <c r="HH95" s="116"/>
      <c r="HI95" s="116"/>
      <c r="HJ95" s="116"/>
      <c r="HK95" s="116"/>
      <c r="HL95" s="116"/>
      <c r="HM95" s="116"/>
      <c r="HN95" s="116"/>
      <c r="HO95" s="116"/>
      <c r="HP95" s="116"/>
      <c r="HQ95" s="116"/>
      <c r="HR95" s="116"/>
      <c r="HS95" s="116"/>
      <c r="HT95" s="116"/>
      <c r="HU95" s="116"/>
      <c r="HV95" s="116"/>
      <c r="HW95" s="116"/>
      <c r="HX95" s="116"/>
      <c r="HY95" s="116"/>
      <c r="HZ95" s="116"/>
      <c r="IA95" s="116"/>
      <c r="IB95" s="116"/>
      <c r="IC95" s="116"/>
      <c r="ID95" s="116"/>
      <c r="IE95" s="116"/>
      <c r="IF95" s="116"/>
      <c r="IG95" s="116"/>
      <c r="IH95" s="116"/>
      <c r="II95" s="116"/>
      <c r="IJ95" s="116"/>
      <c r="IK95" s="116"/>
      <c r="IL95" s="116"/>
      <c r="IM95" s="116"/>
      <c r="IN95" s="116"/>
      <c r="IO95" s="116"/>
      <c r="IP95" s="116"/>
      <c r="IQ95" s="116"/>
      <c r="IR95" s="116"/>
      <c r="IS95" s="116"/>
      <c r="IT95" s="116"/>
      <c r="IU95" s="116"/>
      <c r="IV95" s="116"/>
      <c r="IW95" s="116"/>
      <c r="IX95" s="116"/>
      <c r="IY95" s="116"/>
      <c r="IZ95" s="116"/>
    </row>
    <row r="96" spans="2:260" x14ac:dyDescent="0.3">
      <c r="B96" s="369">
        <v>0</v>
      </c>
      <c r="C96" s="369"/>
      <c r="D96" s="369"/>
      <c r="E96" s="369"/>
      <c r="F96" s="369"/>
      <c r="G96" s="369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  <c r="BM96" s="116"/>
      <c r="BN96" s="116"/>
      <c r="BO96" s="116"/>
      <c r="BP96" s="116"/>
      <c r="BQ96" s="116"/>
      <c r="BR96" s="116"/>
      <c r="BS96" s="116"/>
      <c r="BT96" s="116"/>
      <c r="BU96" s="116"/>
      <c r="BV96" s="116"/>
      <c r="BW96" s="116"/>
      <c r="BX96" s="116"/>
      <c r="BY96" s="116"/>
      <c r="BZ96" s="116"/>
      <c r="CA96" s="116"/>
      <c r="CB96" s="116"/>
      <c r="CC96" s="116"/>
      <c r="CD96" s="116"/>
      <c r="CE96" s="116"/>
      <c r="CF96" s="116"/>
      <c r="CG96" s="116"/>
      <c r="CH96" s="116"/>
      <c r="CI96" s="116"/>
      <c r="CJ96" s="116"/>
      <c r="CK96" s="116"/>
      <c r="CL96" s="116"/>
      <c r="CM96" s="116"/>
      <c r="CN96" s="116"/>
      <c r="CO96" s="116"/>
      <c r="CP96" s="116"/>
      <c r="CQ96" s="116"/>
      <c r="CR96" s="116"/>
      <c r="CS96" s="116"/>
      <c r="CT96" s="116"/>
      <c r="CU96" s="116"/>
      <c r="CV96" s="116"/>
      <c r="CW96" s="116"/>
      <c r="CX96" s="116"/>
      <c r="CY96" s="116"/>
      <c r="CZ96" s="116"/>
      <c r="DA96" s="116"/>
      <c r="DB96" s="116"/>
      <c r="DC96" s="116"/>
      <c r="DD96" s="116"/>
      <c r="DE96" s="116"/>
      <c r="DF96" s="116"/>
      <c r="DG96" s="116"/>
      <c r="DH96" s="116"/>
      <c r="DI96" s="116"/>
      <c r="DJ96" s="116"/>
      <c r="DK96" s="116"/>
      <c r="DL96" s="116"/>
      <c r="DM96" s="116"/>
      <c r="DN96" s="116"/>
      <c r="DO96" s="116"/>
      <c r="DP96" s="116"/>
      <c r="DQ96" s="116"/>
      <c r="DR96" s="116"/>
      <c r="DS96" s="116"/>
      <c r="DT96" s="116"/>
      <c r="DU96" s="116"/>
      <c r="DV96" s="116"/>
      <c r="DW96" s="116"/>
      <c r="DX96" s="116"/>
      <c r="DY96" s="116"/>
      <c r="DZ96" s="116"/>
      <c r="EA96" s="116"/>
      <c r="EB96" s="116"/>
      <c r="EC96" s="116"/>
      <c r="ED96" s="116"/>
      <c r="EE96" s="116"/>
      <c r="EF96" s="116"/>
      <c r="EG96" s="116"/>
      <c r="EH96" s="116"/>
      <c r="EI96" s="116"/>
      <c r="EJ96" s="116"/>
      <c r="EK96" s="116"/>
      <c r="EL96" s="116"/>
      <c r="EM96" s="116"/>
      <c r="EN96" s="116"/>
      <c r="EO96" s="116"/>
      <c r="EP96" s="116"/>
      <c r="EQ96" s="116"/>
      <c r="ER96" s="116"/>
      <c r="ES96" s="116"/>
      <c r="ET96" s="116"/>
      <c r="EU96" s="116"/>
      <c r="EV96" s="116"/>
      <c r="EW96" s="116"/>
      <c r="EX96" s="116"/>
      <c r="EY96" s="116"/>
      <c r="EZ96" s="116"/>
      <c r="FA96" s="116"/>
      <c r="FB96" s="116"/>
      <c r="FC96" s="116"/>
      <c r="FD96" s="116"/>
      <c r="FE96" s="116"/>
      <c r="FF96" s="116"/>
      <c r="FG96" s="116"/>
      <c r="FH96" s="116"/>
      <c r="FI96" s="116"/>
      <c r="FJ96" s="116"/>
      <c r="FK96" s="116"/>
      <c r="FL96" s="116"/>
      <c r="FM96" s="116"/>
      <c r="FN96" s="116"/>
      <c r="FO96" s="116"/>
      <c r="FP96" s="116"/>
      <c r="FQ96" s="116"/>
      <c r="FR96" s="116"/>
      <c r="FS96" s="116"/>
      <c r="FT96" s="116"/>
      <c r="FU96" s="116"/>
      <c r="FV96" s="116"/>
      <c r="FW96" s="116"/>
      <c r="FX96" s="116"/>
      <c r="FY96" s="116"/>
      <c r="FZ96" s="116"/>
      <c r="GA96" s="116"/>
      <c r="GB96" s="116"/>
      <c r="GC96" s="116"/>
      <c r="GD96" s="116"/>
      <c r="GE96" s="116"/>
      <c r="GF96" s="116"/>
      <c r="GG96" s="116"/>
      <c r="GH96" s="116"/>
      <c r="GI96" s="116"/>
      <c r="GJ96" s="116"/>
      <c r="GK96" s="116"/>
      <c r="GL96" s="116"/>
      <c r="GM96" s="116"/>
      <c r="GN96" s="116"/>
      <c r="GO96" s="116"/>
      <c r="GP96" s="116"/>
      <c r="GQ96" s="116"/>
      <c r="GR96" s="116"/>
      <c r="GS96" s="116"/>
      <c r="GT96" s="116"/>
      <c r="GU96" s="116"/>
      <c r="GV96" s="116"/>
      <c r="GW96" s="116"/>
      <c r="GX96" s="116"/>
      <c r="GY96" s="116"/>
      <c r="GZ96" s="116"/>
      <c r="HA96" s="116"/>
      <c r="HB96" s="116"/>
      <c r="HC96" s="116"/>
      <c r="HD96" s="116"/>
      <c r="HE96" s="116"/>
      <c r="HF96" s="116"/>
      <c r="HG96" s="116"/>
      <c r="HH96" s="116"/>
      <c r="HI96" s="116"/>
      <c r="HJ96" s="116"/>
      <c r="HK96" s="116"/>
      <c r="HL96" s="116"/>
      <c r="HM96" s="116"/>
      <c r="HN96" s="116"/>
      <c r="HO96" s="116"/>
      <c r="HP96" s="116"/>
      <c r="HQ96" s="116"/>
      <c r="HR96" s="116"/>
      <c r="HS96" s="116"/>
      <c r="HT96" s="116"/>
      <c r="HU96" s="116"/>
      <c r="HV96" s="116"/>
      <c r="HW96" s="116"/>
      <c r="HX96" s="116"/>
      <c r="HY96" s="116"/>
      <c r="HZ96" s="116"/>
      <c r="IA96" s="116"/>
      <c r="IB96" s="116"/>
      <c r="IC96" s="116"/>
      <c r="ID96" s="116"/>
      <c r="IE96" s="116"/>
      <c r="IF96" s="116"/>
      <c r="IG96" s="116"/>
      <c r="IH96" s="116"/>
      <c r="II96" s="116"/>
      <c r="IJ96" s="116"/>
      <c r="IK96" s="116"/>
      <c r="IL96" s="116"/>
      <c r="IM96" s="116"/>
      <c r="IN96" s="116"/>
      <c r="IO96" s="116"/>
      <c r="IP96" s="116"/>
      <c r="IQ96" s="116"/>
      <c r="IR96" s="116"/>
      <c r="IS96" s="116"/>
      <c r="IT96" s="116"/>
      <c r="IU96" s="116"/>
      <c r="IV96" s="116"/>
      <c r="IW96" s="116"/>
      <c r="IX96" s="116"/>
      <c r="IY96" s="116"/>
      <c r="IZ96" s="116"/>
    </row>
    <row r="97" spans="2:260" x14ac:dyDescent="0.3">
      <c r="B97" s="157" t="s">
        <v>168</v>
      </c>
      <c r="C97" s="157">
        <v>0</v>
      </c>
      <c r="D97" s="157">
        <v>1</v>
      </c>
      <c r="E97" s="157">
        <v>2</v>
      </c>
      <c r="F97" s="157">
        <v>3</v>
      </c>
      <c r="G97" s="157">
        <v>4</v>
      </c>
      <c r="H97" s="157">
        <v>5</v>
      </c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  <c r="DM97" s="116"/>
      <c r="DN97" s="116"/>
      <c r="DO97" s="116"/>
      <c r="DP97" s="116"/>
      <c r="DQ97" s="116"/>
      <c r="DR97" s="116"/>
      <c r="DS97" s="116"/>
      <c r="DT97" s="116"/>
      <c r="DU97" s="116"/>
      <c r="DV97" s="116"/>
      <c r="DW97" s="116"/>
      <c r="DX97" s="116"/>
      <c r="DY97" s="116"/>
      <c r="DZ97" s="116"/>
      <c r="EA97" s="116"/>
      <c r="EB97" s="116"/>
      <c r="EC97" s="116"/>
      <c r="ED97" s="116"/>
      <c r="EE97" s="116"/>
      <c r="EF97" s="116"/>
      <c r="EG97" s="116"/>
      <c r="EH97" s="116"/>
      <c r="EI97" s="116"/>
      <c r="EJ97" s="116"/>
      <c r="EK97" s="116"/>
      <c r="EL97" s="116"/>
      <c r="EM97" s="116"/>
      <c r="EN97" s="116"/>
      <c r="EO97" s="116"/>
      <c r="EP97" s="116"/>
      <c r="EQ97" s="116"/>
      <c r="ER97" s="116"/>
      <c r="ES97" s="116"/>
      <c r="ET97" s="116"/>
      <c r="EU97" s="116"/>
      <c r="EV97" s="116"/>
      <c r="EW97" s="116"/>
      <c r="EX97" s="116"/>
      <c r="EY97" s="116"/>
      <c r="EZ97" s="116"/>
      <c r="FA97" s="116"/>
      <c r="FB97" s="116"/>
      <c r="FC97" s="116"/>
      <c r="FD97" s="116"/>
      <c r="FE97" s="116"/>
      <c r="FF97" s="116"/>
      <c r="FG97" s="116"/>
      <c r="FH97" s="116"/>
      <c r="FI97" s="116"/>
      <c r="FJ97" s="116"/>
      <c r="FK97" s="116"/>
      <c r="FL97" s="116"/>
      <c r="FM97" s="116"/>
      <c r="FN97" s="116"/>
      <c r="FO97" s="116"/>
      <c r="FP97" s="116"/>
      <c r="FQ97" s="116"/>
      <c r="FR97" s="116"/>
      <c r="FS97" s="116"/>
      <c r="FT97" s="116"/>
      <c r="FU97" s="116"/>
      <c r="FV97" s="116"/>
      <c r="FW97" s="116"/>
      <c r="FX97" s="116"/>
      <c r="FY97" s="116"/>
      <c r="FZ97" s="116"/>
      <c r="GA97" s="116"/>
      <c r="GB97" s="116"/>
      <c r="GC97" s="116"/>
      <c r="GD97" s="116"/>
      <c r="GE97" s="116"/>
      <c r="GF97" s="116"/>
      <c r="GG97" s="116"/>
      <c r="GH97" s="116"/>
      <c r="GI97" s="116"/>
      <c r="GJ97" s="116"/>
      <c r="GK97" s="116"/>
      <c r="GL97" s="116"/>
      <c r="GM97" s="116"/>
      <c r="GN97" s="116"/>
      <c r="GO97" s="116"/>
      <c r="GP97" s="116"/>
      <c r="GQ97" s="116"/>
      <c r="GR97" s="116"/>
      <c r="GS97" s="116"/>
      <c r="GT97" s="116"/>
      <c r="GU97" s="116"/>
      <c r="GV97" s="116"/>
      <c r="GW97" s="116"/>
      <c r="GX97" s="116"/>
      <c r="GY97" s="116"/>
      <c r="GZ97" s="116"/>
      <c r="HA97" s="116"/>
      <c r="HB97" s="116"/>
      <c r="HC97" s="116"/>
      <c r="HD97" s="116"/>
      <c r="HE97" s="116"/>
      <c r="HF97" s="116"/>
      <c r="HG97" s="116"/>
      <c r="HH97" s="116"/>
      <c r="HI97" s="116"/>
      <c r="HJ97" s="116"/>
      <c r="HK97" s="116"/>
      <c r="HL97" s="116"/>
      <c r="HM97" s="116"/>
      <c r="HN97" s="116"/>
      <c r="HO97" s="116"/>
      <c r="HP97" s="116"/>
      <c r="HQ97" s="116"/>
      <c r="HR97" s="116"/>
      <c r="HS97" s="116"/>
      <c r="HT97" s="116"/>
      <c r="HU97" s="116"/>
      <c r="HV97" s="116"/>
      <c r="HW97" s="116"/>
      <c r="HX97" s="116"/>
      <c r="HY97" s="116"/>
      <c r="HZ97" s="116"/>
      <c r="IA97" s="116"/>
      <c r="IB97" s="116"/>
      <c r="IC97" s="116"/>
      <c r="ID97" s="116"/>
      <c r="IE97" s="116"/>
      <c r="IF97" s="116"/>
      <c r="IG97" s="116"/>
      <c r="IH97" s="116"/>
      <c r="II97" s="116"/>
      <c r="IJ97" s="116"/>
      <c r="IK97" s="116"/>
      <c r="IL97" s="116"/>
      <c r="IM97" s="116"/>
      <c r="IN97" s="116"/>
      <c r="IO97" s="116"/>
      <c r="IP97" s="116"/>
      <c r="IQ97" s="116"/>
      <c r="IR97" s="116"/>
      <c r="IS97" s="116"/>
      <c r="IT97" s="116"/>
      <c r="IU97" s="116"/>
      <c r="IV97" s="116"/>
      <c r="IW97" s="116"/>
      <c r="IX97" s="116"/>
      <c r="IY97" s="116"/>
      <c r="IZ97" s="116"/>
    </row>
    <row r="98" spans="2:260" x14ac:dyDescent="0.3">
      <c r="B98" s="140" t="s">
        <v>180</v>
      </c>
      <c r="C98" s="229">
        <v>0</v>
      </c>
      <c r="D98" s="229">
        <f>+D22</f>
        <v>115219911861.59999</v>
      </c>
      <c r="E98" s="229">
        <f>+E22</f>
        <v>127971789191.94868</v>
      </c>
      <c r="F98" s="229">
        <f>+F22</f>
        <v>177776294011.81506</v>
      </c>
      <c r="G98" s="229">
        <f>+G22</f>
        <v>197657973082.22723</v>
      </c>
      <c r="H98" s="229">
        <f>+H22</f>
        <v>219688331291.53909</v>
      </c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16"/>
      <c r="BD98" s="116"/>
      <c r="BE98" s="116"/>
      <c r="BF98" s="116"/>
      <c r="BG98" s="116"/>
      <c r="BH98" s="116"/>
      <c r="BI98" s="116"/>
      <c r="BJ98" s="116"/>
      <c r="BK98" s="116"/>
      <c r="BL98" s="116"/>
      <c r="BM98" s="116"/>
      <c r="BN98" s="116"/>
      <c r="BO98" s="116"/>
      <c r="BP98" s="116"/>
      <c r="BQ98" s="116"/>
      <c r="BR98" s="116"/>
      <c r="BS98" s="116"/>
      <c r="BT98" s="116"/>
      <c r="BU98" s="116"/>
      <c r="BV98" s="116"/>
      <c r="BW98" s="116"/>
      <c r="BX98" s="116"/>
      <c r="BY98" s="116"/>
      <c r="BZ98" s="116"/>
      <c r="CA98" s="116"/>
      <c r="CB98" s="116"/>
      <c r="CC98" s="116"/>
      <c r="CD98" s="116"/>
      <c r="CE98" s="116"/>
      <c r="CF98" s="116"/>
      <c r="CG98" s="116"/>
      <c r="CH98" s="116"/>
      <c r="CI98" s="116"/>
      <c r="CJ98" s="116"/>
      <c r="CK98" s="116"/>
      <c r="CL98" s="116"/>
      <c r="CM98" s="116"/>
      <c r="CN98" s="116"/>
      <c r="CO98" s="116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  <c r="DM98" s="116"/>
      <c r="DN98" s="116"/>
      <c r="DO98" s="116"/>
      <c r="DP98" s="116"/>
      <c r="DQ98" s="116"/>
      <c r="DR98" s="116"/>
      <c r="DS98" s="116"/>
      <c r="DT98" s="116"/>
      <c r="DU98" s="116"/>
      <c r="DV98" s="116"/>
      <c r="DW98" s="116"/>
      <c r="DX98" s="116"/>
      <c r="DY98" s="116"/>
      <c r="DZ98" s="116"/>
      <c r="EA98" s="116"/>
      <c r="EB98" s="116"/>
      <c r="EC98" s="116"/>
      <c r="ED98" s="116"/>
      <c r="EE98" s="116"/>
      <c r="EF98" s="116"/>
      <c r="EG98" s="116"/>
      <c r="EH98" s="116"/>
      <c r="EI98" s="116"/>
      <c r="EJ98" s="116"/>
      <c r="EK98" s="116"/>
      <c r="EL98" s="116"/>
      <c r="EM98" s="116"/>
      <c r="EN98" s="116"/>
      <c r="EO98" s="116"/>
      <c r="EP98" s="116"/>
      <c r="EQ98" s="116"/>
      <c r="ER98" s="116"/>
      <c r="ES98" s="116"/>
      <c r="ET98" s="116"/>
      <c r="EU98" s="116"/>
      <c r="EV98" s="116"/>
      <c r="EW98" s="116"/>
      <c r="EX98" s="116"/>
      <c r="EY98" s="116"/>
      <c r="EZ98" s="116"/>
      <c r="FA98" s="116"/>
      <c r="FB98" s="116"/>
      <c r="FC98" s="116"/>
      <c r="FD98" s="116"/>
      <c r="FE98" s="116"/>
      <c r="FF98" s="116"/>
      <c r="FG98" s="116"/>
      <c r="FH98" s="116"/>
      <c r="FI98" s="116"/>
      <c r="FJ98" s="116"/>
      <c r="FK98" s="116"/>
      <c r="FL98" s="116"/>
      <c r="FM98" s="116"/>
      <c r="FN98" s="116"/>
      <c r="FO98" s="116"/>
      <c r="FP98" s="116"/>
      <c r="FQ98" s="116"/>
      <c r="FR98" s="116"/>
      <c r="FS98" s="116"/>
      <c r="FT98" s="116"/>
      <c r="FU98" s="116"/>
      <c r="FV98" s="116"/>
      <c r="FW98" s="116"/>
      <c r="FX98" s="116"/>
      <c r="FY98" s="116"/>
      <c r="FZ98" s="116"/>
      <c r="GA98" s="116"/>
      <c r="GB98" s="116"/>
      <c r="GC98" s="116"/>
      <c r="GD98" s="116"/>
      <c r="GE98" s="116"/>
      <c r="GF98" s="116"/>
      <c r="GG98" s="116"/>
      <c r="GH98" s="116"/>
      <c r="GI98" s="116"/>
      <c r="GJ98" s="116"/>
      <c r="GK98" s="116"/>
      <c r="GL98" s="116"/>
      <c r="GM98" s="116"/>
      <c r="GN98" s="116"/>
      <c r="GO98" s="116"/>
      <c r="GP98" s="116"/>
      <c r="GQ98" s="116"/>
      <c r="GR98" s="116"/>
      <c r="GS98" s="116"/>
      <c r="GT98" s="116"/>
      <c r="GU98" s="116"/>
      <c r="GV98" s="116"/>
      <c r="GW98" s="116"/>
      <c r="GX98" s="116"/>
      <c r="GY98" s="116"/>
      <c r="GZ98" s="116"/>
      <c r="HA98" s="116"/>
      <c r="HB98" s="116"/>
      <c r="HC98" s="116"/>
      <c r="HD98" s="116"/>
      <c r="HE98" s="116"/>
      <c r="HF98" s="116"/>
      <c r="HG98" s="116"/>
      <c r="HH98" s="116"/>
      <c r="HI98" s="116"/>
      <c r="HJ98" s="116"/>
      <c r="HK98" s="116"/>
      <c r="HL98" s="116"/>
      <c r="HM98" s="116"/>
      <c r="HN98" s="116"/>
      <c r="HO98" s="116"/>
      <c r="HP98" s="116"/>
      <c r="HQ98" s="116"/>
      <c r="HR98" s="116"/>
      <c r="HS98" s="116"/>
      <c r="HT98" s="116"/>
      <c r="HU98" s="116"/>
      <c r="HV98" s="116"/>
      <c r="HW98" s="116"/>
      <c r="HX98" s="116"/>
      <c r="HY98" s="116"/>
      <c r="HZ98" s="116"/>
      <c r="IA98" s="116"/>
      <c r="IB98" s="116"/>
      <c r="IC98" s="116"/>
      <c r="ID98" s="116"/>
      <c r="IE98" s="116"/>
      <c r="IF98" s="116"/>
      <c r="IG98" s="116"/>
      <c r="IH98" s="116"/>
      <c r="II98" s="116"/>
      <c r="IJ98" s="116"/>
      <c r="IK98" s="116"/>
      <c r="IL98" s="116"/>
      <c r="IM98" s="116"/>
      <c r="IN98" s="116"/>
      <c r="IO98" s="116"/>
      <c r="IP98" s="116"/>
      <c r="IQ98" s="116"/>
      <c r="IR98" s="116"/>
      <c r="IS98" s="116"/>
      <c r="IT98" s="116"/>
      <c r="IU98" s="116"/>
      <c r="IV98" s="116"/>
      <c r="IW98" s="116"/>
      <c r="IX98" s="116"/>
      <c r="IY98" s="116"/>
      <c r="IZ98" s="116"/>
    </row>
    <row r="99" spans="2:260" x14ac:dyDescent="0.3">
      <c r="B99" s="133" t="s">
        <v>181</v>
      </c>
      <c r="C99" s="229">
        <v>0</v>
      </c>
      <c r="D99" s="229">
        <f t="shared" ref="D99:H101" si="16">+D55</f>
        <v>116185402623.33333</v>
      </c>
      <c r="E99" s="229">
        <f t="shared" si="16"/>
        <v>129044134919.61874</v>
      </c>
      <c r="F99" s="229">
        <f t="shared" si="16"/>
        <v>143412783175.58322</v>
      </c>
      <c r="G99" s="229">
        <f t="shared" si="16"/>
        <v>159451407720.44415</v>
      </c>
      <c r="H99" s="229">
        <f t="shared" si="16"/>
        <v>177223380461.00143</v>
      </c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V99" s="116"/>
      <c r="DW99" s="116"/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6"/>
      <c r="EL99" s="116"/>
      <c r="EM99" s="116"/>
      <c r="EN99" s="116"/>
      <c r="EO99" s="116"/>
      <c r="EP99" s="116"/>
      <c r="EQ99" s="116"/>
      <c r="ER99" s="116"/>
      <c r="ES99" s="116"/>
      <c r="ET99" s="116"/>
      <c r="EU99" s="116"/>
      <c r="EV99" s="116"/>
      <c r="EW99" s="116"/>
      <c r="EX99" s="116"/>
      <c r="EY99" s="116"/>
      <c r="EZ99" s="116"/>
      <c r="FA99" s="116"/>
      <c r="FB99" s="116"/>
      <c r="FC99" s="116"/>
      <c r="FD99" s="116"/>
      <c r="FE99" s="116"/>
      <c r="FF99" s="116"/>
      <c r="FG99" s="116"/>
      <c r="FH99" s="116"/>
      <c r="FI99" s="116"/>
      <c r="FJ99" s="116"/>
      <c r="FK99" s="116"/>
      <c r="FL99" s="116"/>
      <c r="FM99" s="116"/>
      <c r="FN99" s="116"/>
      <c r="FO99" s="116"/>
      <c r="FP99" s="116"/>
      <c r="FQ99" s="116"/>
      <c r="FR99" s="116"/>
      <c r="FS99" s="116"/>
      <c r="FT99" s="116"/>
      <c r="FU99" s="116"/>
      <c r="FV99" s="116"/>
      <c r="FW99" s="116"/>
      <c r="FX99" s="116"/>
      <c r="FY99" s="116"/>
      <c r="FZ99" s="116"/>
      <c r="GA99" s="116"/>
      <c r="GB99" s="116"/>
      <c r="GC99" s="116"/>
      <c r="GD99" s="116"/>
      <c r="GE99" s="116"/>
      <c r="GF99" s="116"/>
      <c r="GG99" s="116"/>
      <c r="GH99" s="116"/>
      <c r="GI99" s="116"/>
      <c r="GJ99" s="116"/>
      <c r="GK99" s="116"/>
      <c r="GL99" s="116"/>
      <c r="GM99" s="116"/>
      <c r="GN99" s="116"/>
      <c r="GO99" s="116"/>
      <c r="GP99" s="116"/>
      <c r="GQ99" s="116"/>
      <c r="GR99" s="116"/>
      <c r="GS99" s="116"/>
      <c r="GT99" s="116"/>
      <c r="GU99" s="116"/>
      <c r="GV99" s="116"/>
      <c r="GW99" s="116"/>
      <c r="GX99" s="116"/>
      <c r="GY99" s="116"/>
      <c r="GZ99" s="116"/>
      <c r="HA99" s="116"/>
      <c r="HB99" s="116"/>
      <c r="HC99" s="116"/>
      <c r="HD99" s="116"/>
      <c r="HE99" s="116"/>
      <c r="HF99" s="116"/>
      <c r="HG99" s="116"/>
      <c r="HH99" s="116"/>
      <c r="HI99" s="116"/>
      <c r="HJ99" s="116"/>
      <c r="HK99" s="116"/>
      <c r="HL99" s="116"/>
      <c r="HM99" s="116"/>
      <c r="HN99" s="116"/>
      <c r="HO99" s="116"/>
      <c r="HP99" s="116"/>
      <c r="HQ99" s="116"/>
      <c r="HR99" s="116"/>
      <c r="HS99" s="116"/>
      <c r="HT99" s="116"/>
      <c r="HU99" s="116"/>
      <c r="HV99" s="116"/>
      <c r="HW99" s="116"/>
      <c r="HX99" s="116"/>
      <c r="HY99" s="116"/>
      <c r="HZ99" s="116"/>
      <c r="IA99" s="116"/>
      <c r="IB99" s="116"/>
      <c r="IC99" s="116"/>
      <c r="ID99" s="116"/>
      <c r="IE99" s="116"/>
      <c r="IF99" s="116"/>
      <c r="IG99" s="116"/>
      <c r="IH99" s="116"/>
      <c r="II99" s="116"/>
      <c r="IJ99" s="116"/>
      <c r="IK99" s="116"/>
      <c r="IL99" s="116"/>
      <c r="IM99" s="116"/>
      <c r="IN99" s="116"/>
      <c r="IO99" s="116"/>
      <c r="IP99" s="116"/>
      <c r="IQ99" s="116"/>
      <c r="IR99" s="116"/>
      <c r="IS99" s="116"/>
      <c r="IT99" s="116"/>
      <c r="IU99" s="116"/>
      <c r="IV99" s="116"/>
      <c r="IW99" s="116"/>
      <c r="IX99" s="116"/>
      <c r="IY99" s="116"/>
      <c r="IZ99" s="116"/>
    </row>
    <row r="100" spans="2:260" x14ac:dyDescent="0.3">
      <c r="B100" s="133" t="s">
        <v>169</v>
      </c>
      <c r="C100" s="229">
        <v>0</v>
      </c>
      <c r="D100" s="229">
        <f t="shared" si="16"/>
        <v>6091896286.9063864</v>
      </c>
      <c r="E100" s="229">
        <f t="shared" si="16"/>
        <v>6466377732.0922728</v>
      </c>
      <c r="F100" s="229">
        <f t="shared" si="16"/>
        <v>6844179084.2786293</v>
      </c>
      <c r="G100" s="229">
        <f t="shared" si="16"/>
        <v>7247234501.5965681</v>
      </c>
      <c r="H100" s="229">
        <f t="shared" si="16"/>
        <v>7671413506.3472528</v>
      </c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6"/>
      <c r="ED100" s="116"/>
      <c r="EE100" s="116"/>
      <c r="EF100" s="116"/>
      <c r="EG100" s="116"/>
      <c r="EH100" s="116"/>
      <c r="EI100" s="116"/>
      <c r="EJ100" s="116"/>
      <c r="EK100" s="116"/>
      <c r="EL100" s="116"/>
      <c r="EM100" s="116"/>
      <c r="EN100" s="116"/>
      <c r="EO100" s="116"/>
      <c r="EP100" s="116"/>
      <c r="EQ100" s="116"/>
      <c r="ER100" s="116"/>
      <c r="ES100" s="116"/>
      <c r="ET100" s="116"/>
      <c r="EU100" s="116"/>
      <c r="EV100" s="116"/>
      <c r="EW100" s="116"/>
      <c r="EX100" s="116"/>
      <c r="EY100" s="116"/>
      <c r="EZ100" s="116"/>
      <c r="FA100" s="116"/>
      <c r="FB100" s="116"/>
      <c r="FC100" s="116"/>
      <c r="FD100" s="116"/>
      <c r="FE100" s="116"/>
      <c r="FF100" s="116"/>
      <c r="FG100" s="116"/>
      <c r="FH100" s="116"/>
      <c r="FI100" s="116"/>
      <c r="FJ100" s="116"/>
      <c r="FK100" s="116"/>
      <c r="FL100" s="116"/>
      <c r="FM100" s="116"/>
      <c r="FN100" s="116"/>
      <c r="FO100" s="116"/>
      <c r="FP100" s="116"/>
      <c r="FQ100" s="116"/>
      <c r="FR100" s="116"/>
      <c r="FS100" s="116"/>
      <c r="FT100" s="116"/>
      <c r="FU100" s="116"/>
      <c r="FV100" s="116"/>
      <c r="FW100" s="116"/>
      <c r="FX100" s="116"/>
      <c r="FY100" s="116"/>
      <c r="FZ100" s="116"/>
      <c r="GA100" s="116"/>
      <c r="GB100" s="116"/>
      <c r="GC100" s="116"/>
      <c r="GD100" s="116"/>
      <c r="GE100" s="116"/>
      <c r="GF100" s="116"/>
      <c r="GG100" s="116"/>
      <c r="GH100" s="116"/>
      <c r="GI100" s="116"/>
      <c r="GJ100" s="116"/>
      <c r="GK100" s="116"/>
      <c r="GL100" s="116"/>
      <c r="GM100" s="116"/>
      <c r="GN100" s="116"/>
      <c r="GO100" s="116"/>
      <c r="GP100" s="116"/>
      <c r="GQ100" s="116"/>
      <c r="GR100" s="116"/>
      <c r="GS100" s="116"/>
      <c r="GT100" s="116"/>
      <c r="GU100" s="116"/>
      <c r="GV100" s="116"/>
      <c r="GW100" s="116"/>
      <c r="GX100" s="116"/>
      <c r="GY100" s="116"/>
      <c r="GZ100" s="116"/>
      <c r="HA100" s="116"/>
      <c r="HB100" s="116"/>
      <c r="HC100" s="116"/>
      <c r="HD100" s="116"/>
      <c r="HE100" s="116"/>
      <c r="HF100" s="116"/>
      <c r="HG100" s="116"/>
      <c r="HH100" s="116"/>
      <c r="HI100" s="116"/>
      <c r="HJ100" s="116"/>
      <c r="HK100" s="116"/>
      <c r="HL100" s="116"/>
      <c r="HM100" s="116"/>
      <c r="HN100" s="116"/>
      <c r="HO100" s="116"/>
      <c r="HP100" s="116"/>
      <c r="HQ100" s="116"/>
      <c r="HR100" s="116"/>
      <c r="HS100" s="116"/>
      <c r="HT100" s="116"/>
      <c r="HU100" s="116"/>
      <c r="HV100" s="116"/>
      <c r="HW100" s="116"/>
      <c r="HX100" s="116"/>
      <c r="HY100" s="116"/>
      <c r="HZ100" s="116"/>
      <c r="IA100" s="116"/>
      <c r="IB100" s="116"/>
      <c r="IC100" s="116"/>
      <c r="ID100" s="116"/>
      <c r="IE100" s="116"/>
      <c r="IF100" s="116"/>
      <c r="IG100" s="116"/>
      <c r="IH100" s="116"/>
      <c r="II100" s="116"/>
      <c r="IJ100" s="116"/>
      <c r="IK100" s="116"/>
      <c r="IL100" s="116"/>
      <c r="IM100" s="116"/>
      <c r="IN100" s="116"/>
      <c r="IO100" s="116"/>
      <c r="IP100" s="116"/>
      <c r="IQ100" s="116"/>
      <c r="IR100" s="116"/>
      <c r="IS100" s="116"/>
      <c r="IT100" s="116"/>
      <c r="IU100" s="116"/>
      <c r="IV100" s="116"/>
      <c r="IW100" s="116"/>
      <c r="IX100" s="116"/>
      <c r="IY100" s="116"/>
      <c r="IZ100" s="116"/>
    </row>
    <row r="101" spans="2:260" x14ac:dyDescent="0.3">
      <c r="B101" s="133" t="s">
        <v>170</v>
      </c>
      <c r="C101" s="229">
        <v>0</v>
      </c>
      <c r="D101" s="229">
        <f t="shared" si="16"/>
        <v>351290697.1056</v>
      </c>
      <c r="E101" s="229">
        <f t="shared" si="16"/>
        <v>665085762.44835985</v>
      </c>
      <c r="F101" s="229">
        <f t="shared" si="16"/>
        <v>737606713.98572898</v>
      </c>
      <c r="G101" s="229">
        <f t="shared" si="16"/>
        <v>819377794.29818702</v>
      </c>
      <c r="H101" s="229">
        <f t="shared" si="16"/>
        <v>909724028.65309358</v>
      </c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  <c r="DM101" s="116"/>
      <c r="DN101" s="116"/>
      <c r="DO101" s="116"/>
      <c r="DP101" s="116"/>
      <c r="DQ101" s="116"/>
      <c r="DR101" s="116"/>
      <c r="DS101" s="116"/>
      <c r="DT101" s="116"/>
      <c r="DU101" s="116"/>
      <c r="DV101" s="116"/>
      <c r="DW101" s="116"/>
      <c r="DX101" s="116"/>
      <c r="DY101" s="116"/>
      <c r="DZ101" s="116"/>
      <c r="EA101" s="116"/>
      <c r="EB101" s="116"/>
      <c r="EC101" s="116"/>
      <c r="ED101" s="116"/>
      <c r="EE101" s="116"/>
      <c r="EF101" s="116"/>
      <c r="EG101" s="116"/>
      <c r="EH101" s="116"/>
      <c r="EI101" s="116"/>
      <c r="EJ101" s="116"/>
      <c r="EK101" s="116"/>
      <c r="EL101" s="116"/>
      <c r="EM101" s="116"/>
      <c r="EN101" s="116"/>
      <c r="EO101" s="116"/>
      <c r="EP101" s="116"/>
      <c r="EQ101" s="116"/>
      <c r="ER101" s="116"/>
      <c r="ES101" s="116"/>
      <c r="ET101" s="116"/>
      <c r="EU101" s="116"/>
      <c r="EV101" s="116"/>
      <c r="EW101" s="116"/>
      <c r="EX101" s="116"/>
      <c r="EY101" s="116"/>
      <c r="EZ101" s="116"/>
      <c r="FA101" s="116"/>
      <c r="FB101" s="116"/>
      <c r="FC101" s="116"/>
      <c r="FD101" s="116"/>
      <c r="FE101" s="116"/>
      <c r="FF101" s="116"/>
      <c r="FG101" s="116"/>
      <c r="FH101" s="116"/>
      <c r="FI101" s="116"/>
      <c r="FJ101" s="116"/>
      <c r="FK101" s="116"/>
      <c r="FL101" s="116"/>
      <c r="FM101" s="116"/>
      <c r="FN101" s="116"/>
      <c r="FO101" s="116"/>
      <c r="FP101" s="116"/>
      <c r="FQ101" s="116"/>
      <c r="FR101" s="116"/>
      <c r="FS101" s="116"/>
      <c r="FT101" s="116"/>
      <c r="FU101" s="116"/>
      <c r="FV101" s="116"/>
      <c r="FW101" s="116"/>
      <c r="FX101" s="116"/>
      <c r="FY101" s="116"/>
      <c r="FZ101" s="116"/>
      <c r="GA101" s="116"/>
      <c r="GB101" s="116"/>
      <c r="GC101" s="116"/>
      <c r="GD101" s="116"/>
      <c r="GE101" s="116"/>
      <c r="GF101" s="116"/>
      <c r="GG101" s="116"/>
      <c r="GH101" s="116"/>
      <c r="GI101" s="116"/>
      <c r="GJ101" s="116"/>
      <c r="GK101" s="116"/>
      <c r="GL101" s="116"/>
      <c r="GM101" s="116"/>
      <c r="GN101" s="116"/>
      <c r="GO101" s="116"/>
      <c r="GP101" s="116"/>
      <c r="GQ101" s="116"/>
      <c r="GR101" s="116"/>
      <c r="GS101" s="116"/>
      <c r="GT101" s="116"/>
      <c r="GU101" s="116"/>
      <c r="GV101" s="116"/>
      <c r="GW101" s="116"/>
      <c r="GX101" s="116"/>
      <c r="GY101" s="116"/>
      <c r="GZ101" s="116"/>
      <c r="HA101" s="116"/>
      <c r="HB101" s="116"/>
      <c r="HC101" s="116"/>
      <c r="HD101" s="116"/>
      <c r="HE101" s="116"/>
      <c r="HF101" s="116"/>
      <c r="HG101" s="116"/>
      <c r="HH101" s="116"/>
      <c r="HI101" s="116"/>
      <c r="HJ101" s="116"/>
      <c r="HK101" s="116"/>
      <c r="HL101" s="116"/>
      <c r="HM101" s="116"/>
      <c r="HN101" s="116"/>
      <c r="HO101" s="116"/>
      <c r="HP101" s="116"/>
      <c r="HQ101" s="116"/>
      <c r="HR101" s="116"/>
      <c r="HS101" s="116"/>
      <c r="HT101" s="116"/>
      <c r="HU101" s="116"/>
      <c r="HV101" s="116"/>
      <c r="HW101" s="116"/>
      <c r="HX101" s="116"/>
      <c r="HY101" s="116"/>
      <c r="HZ101" s="116"/>
      <c r="IA101" s="116"/>
      <c r="IB101" s="116"/>
      <c r="IC101" s="116"/>
      <c r="ID101" s="116"/>
      <c r="IE101" s="116"/>
      <c r="IF101" s="116"/>
      <c r="IG101" s="116"/>
      <c r="IH101" s="116"/>
      <c r="II101" s="116"/>
      <c r="IJ101" s="116"/>
      <c r="IK101" s="116"/>
      <c r="IL101" s="116"/>
      <c r="IM101" s="116"/>
      <c r="IN101" s="116"/>
      <c r="IO101" s="116"/>
      <c r="IP101" s="116"/>
      <c r="IQ101" s="116"/>
      <c r="IR101" s="116"/>
      <c r="IS101" s="116"/>
      <c r="IT101" s="116"/>
      <c r="IU101" s="116"/>
      <c r="IV101" s="116"/>
      <c r="IW101" s="116"/>
      <c r="IX101" s="116"/>
      <c r="IY101" s="116"/>
      <c r="IZ101" s="116"/>
    </row>
    <row r="102" spans="2:260" x14ac:dyDescent="0.3">
      <c r="B102" s="200" t="s">
        <v>230</v>
      </c>
      <c r="C102" s="230">
        <f>+C98-(C99+C100+C101)</f>
        <v>0</v>
      </c>
      <c r="D102" s="230">
        <f>+D98-(D99+D100+D101)</f>
        <v>-7408677745.7453308</v>
      </c>
      <c r="E102" s="230">
        <f t="shared" ref="E102:G102" si="17">+E98-(E99+E100+E101)</f>
        <v>-8203809222.2106934</v>
      </c>
      <c r="F102" s="230">
        <f t="shared" si="17"/>
        <v>26781725037.967499</v>
      </c>
      <c r="G102" s="230">
        <f t="shared" si="17"/>
        <v>30139953065.888336</v>
      </c>
      <c r="H102" s="230">
        <f>+H98-(H99+H100+H101)</f>
        <v>33883813295.537292</v>
      </c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5"/>
      <c r="BN102" s="145"/>
      <c r="BO102" s="145"/>
      <c r="BP102" s="145"/>
      <c r="BQ102" s="145"/>
      <c r="BR102" s="145"/>
      <c r="BS102" s="145"/>
      <c r="BT102" s="145"/>
      <c r="BU102" s="145"/>
      <c r="BV102" s="145"/>
      <c r="BW102" s="145"/>
      <c r="BX102" s="145"/>
      <c r="BY102" s="145"/>
      <c r="BZ102" s="145"/>
      <c r="CA102" s="145"/>
      <c r="CB102" s="145"/>
      <c r="CC102" s="145"/>
      <c r="CD102" s="145"/>
      <c r="CE102" s="145"/>
      <c r="CF102" s="145"/>
      <c r="CG102" s="145"/>
      <c r="CH102" s="145"/>
      <c r="CI102" s="145"/>
      <c r="CJ102" s="145"/>
      <c r="CK102" s="145"/>
      <c r="CL102" s="145"/>
      <c r="CM102" s="145"/>
      <c r="CN102" s="145"/>
      <c r="CO102" s="145"/>
      <c r="CP102" s="145"/>
      <c r="CQ102" s="145"/>
      <c r="CR102" s="145"/>
      <c r="CS102" s="145"/>
      <c r="CT102" s="145"/>
      <c r="CU102" s="145"/>
      <c r="CV102" s="145"/>
      <c r="CW102" s="145"/>
      <c r="CX102" s="145"/>
      <c r="CY102" s="145"/>
      <c r="CZ102" s="145"/>
      <c r="DA102" s="145"/>
      <c r="DB102" s="145"/>
      <c r="DC102" s="145"/>
      <c r="DD102" s="145"/>
      <c r="DE102" s="145"/>
      <c r="DF102" s="145"/>
      <c r="DG102" s="145"/>
      <c r="DH102" s="145"/>
      <c r="DI102" s="145"/>
      <c r="DJ102" s="145"/>
      <c r="DK102" s="145"/>
      <c r="DL102" s="145"/>
      <c r="DM102" s="145"/>
      <c r="DN102" s="145"/>
      <c r="DO102" s="145"/>
      <c r="DP102" s="145"/>
      <c r="DQ102" s="145"/>
      <c r="DR102" s="145"/>
      <c r="DS102" s="145"/>
      <c r="DT102" s="145"/>
      <c r="DU102" s="145"/>
      <c r="DV102" s="145"/>
      <c r="DW102" s="145"/>
      <c r="DX102" s="145"/>
      <c r="DY102" s="145"/>
      <c r="DZ102" s="145"/>
      <c r="EA102" s="145"/>
      <c r="EB102" s="145"/>
      <c r="EC102" s="145"/>
      <c r="ED102" s="145"/>
      <c r="EE102" s="145"/>
      <c r="EF102" s="145"/>
      <c r="EG102" s="145"/>
      <c r="EH102" s="145"/>
      <c r="EI102" s="145"/>
      <c r="EJ102" s="145"/>
      <c r="EK102" s="145"/>
      <c r="EL102" s="145"/>
      <c r="EM102" s="145"/>
      <c r="EN102" s="145"/>
      <c r="EO102" s="145"/>
      <c r="EP102" s="145"/>
      <c r="EQ102" s="145"/>
      <c r="ER102" s="145"/>
      <c r="ES102" s="145"/>
      <c r="ET102" s="145"/>
      <c r="EU102" s="145"/>
      <c r="EV102" s="145"/>
      <c r="EW102" s="145"/>
      <c r="EX102" s="145"/>
      <c r="EY102" s="145"/>
      <c r="EZ102" s="145"/>
      <c r="FA102" s="145"/>
      <c r="FB102" s="145"/>
      <c r="FC102" s="145"/>
      <c r="FD102" s="145"/>
      <c r="FE102" s="145"/>
      <c r="FF102" s="145"/>
      <c r="FG102" s="145"/>
      <c r="FH102" s="145"/>
      <c r="FI102" s="145"/>
      <c r="FJ102" s="145"/>
      <c r="FK102" s="145"/>
      <c r="FL102" s="145"/>
      <c r="FM102" s="145"/>
      <c r="FN102" s="145"/>
      <c r="FO102" s="145"/>
      <c r="FP102" s="145"/>
      <c r="FQ102" s="145"/>
      <c r="FR102" s="145"/>
      <c r="FS102" s="145"/>
      <c r="FT102" s="145"/>
      <c r="FU102" s="145"/>
      <c r="FV102" s="145"/>
      <c r="FW102" s="145"/>
      <c r="FX102" s="145"/>
      <c r="FY102" s="145"/>
      <c r="FZ102" s="145"/>
      <c r="GA102" s="145"/>
      <c r="GB102" s="145"/>
      <c r="GC102" s="145"/>
      <c r="GD102" s="145"/>
      <c r="GE102" s="145"/>
      <c r="GF102" s="145"/>
      <c r="GG102" s="145"/>
      <c r="GH102" s="145"/>
      <c r="GI102" s="145"/>
      <c r="GJ102" s="145"/>
      <c r="GK102" s="145"/>
      <c r="GL102" s="145"/>
      <c r="GM102" s="145"/>
      <c r="GN102" s="145"/>
      <c r="GO102" s="145"/>
      <c r="GP102" s="145"/>
      <c r="GQ102" s="145"/>
      <c r="GR102" s="145"/>
      <c r="GS102" s="145"/>
      <c r="GT102" s="145"/>
      <c r="GU102" s="145"/>
      <c r="GV102" s="145"/>
      <c r="GW102" s="145"/>
      <c r="GX102" s="145"/>
      <c r="GY102" s="145"/>
      <c r="GZ102" s="145"/>
      <c r="HA102" s="145"/>
      <c r="HB102" s="145"/>
      <c r="HC102" s="145"/>
      <c r="HD102" s="145"/>
      <c r="HE102" s="145"/>
      <c r="HF102" s="145"/>
      <c r="HG102" s="145"/>
      <c r="HH102" s="145"/>
      <c r="HI102" s="145"/>
      <c r="HJ102" s="145"/>
      <c r="HK102" s="145"/>
      <c r="HL102" s="145"/>
      <c r="HM102" s="145"/>
      <c r="HN102" s="145"/>
      <c r="HO102" s="145"/>
      <c r="HP102" s="145"/>
      <c r="HQ102" s="145"/>
      <c r="HR102" s="145"/>
      <c r="HS102" s="145"/>
      <c r="HT102" s="145"/>
      <c r="HU102" s="145"/>
      <c r="HV102" s="145"/>
      <c r="HW102" s="145"/>
      <c r="HX102" s="145"/>
      <c r="HY102" s="145"/>
      <c r="HZ102" s="145"/>
      <c r="IA102" s="145"/>
      <c r="IB102" s="145"/>
      <c r="IC102" s="145"/>
      <c r="ID102" s="145"/>
      <c r="IE102" s="145"/>
      <c r="IF102" s="145"/>
      <c r="IG102" s="145"/>
      <c r="IH102" s="145"/>
      <c r="II102" s="145"/>
      <c r="IJ102" s="145"/>
      <c r="IK102" s="145"/>
      <c r="IL102" s="145"/>
      <c r="IM102" s="145"/>
      <c r="IN102" s="145"/>
      <c r="IO102" s="145"/>
      <c r="IP102" s="145"/>
      <c r="IQ102" s="145"/>
      <c r="IR102" s="145"/>
      <c r="IS102" s="145"/>
      <c r="IT102" s="145"/>
      <c r="IU102" s="145"/>
      <c r="IV102" s="145"/>
      <c r="IW102" s="145"/>
      <c r="IX102" s="145"/>
      <c r="IY102" s="145"/>
      <c r="IZ102" s="145"/>
    </row>
    <row r="103" spans="2:260" x14ac:dyDescent="0.3">
      <c r="B103" s="140" t="s">
        <v>182</v>
      </c>
      <c r="C103" s="235">
        <v>0</v>
      </c>
      <c r="D103" s="235">
        <f>+G88</f>
        <v>3000000</v>
      </c>
      <c r="E103" s="235">
        <f>+D103</f>
        <v>3000000</v>
      </c>
      <c r="F103" s="235">
        <f t="shared" ref="F103:H104" si="18">+E103</f>
        <v>3000000</v>
      </c>
      <c r="G103" s="235">
        <f t="shared" si="18"/>
        <v>3000000</v>
      </c>
      <c r="H103" s="235">
        <f t="shared" si="18"/>
        <v>3000000</v>
      </c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16"/>
      <c r="DB103" s="116"/>
      <c r="DC103" s="116"/>
      <c r="DD103" s="116"/>
      <c r="DE103" s="116"/>
      <c r="DF103" s="116"/>
      <c r="DG103" s="116"/>
      <c r="DH103" s="116"/>
      <c r="DI103" s="116"/>
      <c r="DJ103" s="116"/>
      <c r="DK103" s="116"/>
      <c r="DL103" s="116"/>
      <c r="DM103" s="116"/>
      <c r="DN103" s="116"/>
      <c r="DO103" s="116"/>
      <c r="DP103" s="116"/>
      <c r="DQ103" s="116"/>
      <c r="DR103" s="116"/>
      <c r="DS103" s="116"/>
      <c r="DT103" s="116"/>
      <c r="DU103" s="116"/>
      <c r="DV103" s="116"/>
      <c r="DW103" s="116"/>
      <c r="DX103" s="116"/>
      <c r="DY103" s="116"/>
      <c r="DZ103" s="116"/>
      <c r="EA103" s="116"/>
      <c r="EB103" s="116"/>
      <c r="EC103" s="116"/>
      <c r="ED103" s="116"/>
      <c r="EE103" s="116"/>
      <c r="EF103" s="116"/>
      <c r="EG103" s="116"/>
      <c r="EH103" s="116"/>
      <c r="EI103" s="116"/>
      <c r="EJ103" s="116"/>
      <c r="EK103" s="116"/>
      <c r="EL103" s="116"/>
      <c r="EM103" s="116"/>
      <c r="EN103" s="116"/>
      <c r="EO103" s="116"/>
      <c r="EP103" s="116"/>
      <c r="EQ103" s="116"/>
      <c r="ER103" s="116"/>
      <c r="ES103" s="116"/>
      <c r="ET103" s="116"/>
      <c r="EU103" s="116"/>
      <c r="EV103" s="116"/>
      <c r="EW103" s="116"/>
      <c r="EX103" s="116"/>
      <c r="EY103" s="116"/>
      <c r="EZ103" s="116"/>
      <c r="FA103" s="116"/>
      <c r="FB103" s="116"/>
      <c r="FC103" s="116"/>
      <c r="FD103" s="116"/>
      <c r="FE103" s="116"/>
      <c r="FF103" s="116"/>
      <c r="FG103" s="116"/>
      <c r="FH103" s="116"/>
      <c r="FI103" s="116"/>
      <c r="FJ103" s="116"/>
      <c r="FK103" s="116"/>
      <c r="FL103" s="116"/>
      <c r="FM103" s="116"/>
      <c r="FN103" s="116"/>
      <c r="FO103" s="116"/>
      <c r="FP103" s="116"/>
      <c r="FQ103" s="116"/>
      <c r="FR103" s="116"/>
      <c r="FS103" s="116"/>
      <c r="FT103" s="116"/>
      <c r="FU103" s="116"/>
      <c r="FV103" s="116"/>
      <c r="FW103" s="116"/>
      <c r="FX103" s="116"/>
      <c r="FY103" s="116"/>
      <c r="FZ103" s="116"/>
      <c r="GA103" s="116"/>
      <c r="GB103" s="116"/>
      <c r="GC103" s="116"/>
      <c r="GD103" s="116"/>
      <c r="GE103" s="116"/>
      <c r="GF103" s="116"/>
      <c r="GG103" s="116"/>
      <c r="GH103" s="116"/>
      <c r="GI103" s="116"/>
      <c r="GJ103" s="116"/>
      <c r="GK103" s="116"/>
      <c r="GL103" s="116"/>
      <c r="GM103" s="116"/>
      <c r="GN103" s="116"/>
      <c r="GO103" s="116"/>
      <c r="GP103" s="116"/>
      <c r="GQ103" s="116"/>
      <c r="GR103" s="116"/>
      <c r="GS103" s="116"/>
      <c r="GT103" s="116"/>
      <c r="GU103" s="116"/>
      <c r="GV103" s="116"/>
      <c r="GW103" s="116"/>
      <c r="GX103" s="116"/>
      <c r="GY103" s="116"/>
      <c r="GZ103" s="116"/>
      <c r="HA103" s="116"/>
      <c r="HB103" s="116"/>
      <c r="HC103" s="116"/>
      <c r="HD103" s="116"/>
      <c r="HE103" s="116"/>
      <c r="HF103" s="116"/>
      <c r="HG103" s="116"/>
      <c r="HH103" s="116"/>
      <c r="HI103" s="116"/>
      <c r="HJ103" s="116"/>
      <c r="HK103" s="116"/>
      <c r="HL103" s="116"/>
      <c r="HM103" s="116"/>
      <c r="HN103" s="116"/>
      <c r="HO103" s="116"/>
      <c r="HP103" s="116"/>
      <c r="HQ103" s="116"/>
      <c r="HR103" s="116"/>
      <c r="HS103" s="116"/>
      <c r="HT103" s="116"/>
      <c r="HU103" s="116"/>
      <c r="HV103" s="116"/>
      <c r="HW103" s="116"/>
      <c r="HX103" s="116"/>
      <c r="HY103" s="116"/>
      <c r="HZ103" s="116"/>
      <c r="IA103" s="116"/>
      <c r="IB103" s="116"/>
      <c r="IC103" s="116"/>
      <c r="ID103" s="116"/>
      <c r="IE103" s="116"/>
      <c r="IF103" s="116"/>
      <c r="IG103" s="116"/>
      <c r="IH103" s="116"/>
      <c r="II103" s="116"/>
      <c r="IJ103" s="116"/>
      <c r="IK103" s="116"/>
      <c r="IL103" s="116"/>
      <c r="IM103" s="116"/>
      <c r="IN103" s="116"/>
      <c r="IO103" s="116"/>
      <c r="IP103" s="116"/>
      <c r="IQ103" s="116"/>
      <c r="IR103" s="116"/>
      <c r="IS103" s="116"/>
      <c r="IT103" s="116"/>
      <c r="IU103" s="116"/>
      <c r="IV103" s="116"/>
      <c r="IW103" s="116"/>
      <c r="IX103" s="116"/>
      <c r="IY103" s="116"/>
      <c r="IZ103" s="116"/>
    </row>
    <row r="104" spans="2:260" x14ac:dyDescent="0.3">
      <c r="B104" s="140" t="s">
        <v>183</v>
      </c>
      <c r="C104" s="235">
        <v>0</v>
      </c>
      <c r="D104" s="235">
        <f>+C88+D88</f>
        <v>5016000</v>
      </c>
      <c r="E104" s="235">
        <f>+D104</f>
        <v>5016000</v>
      </c>
      <c r="F104" s="235">
        <f t="shared" si="18"/>
        <v>5016000</v>
      </c>
      <c r="G104" s="235">
        <f t="shared" si="18"/>
        <v>5016000</v>
      </c>
      <c r="H104" s="235">
        <f t="shared" si="18"/>
        <v>5016000</v>
      </c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16"/>
      <c r="BD104" s="116"/>
      <c r="BE104" s="116"/>
      <c r="BF104" s="116"/>
      <c r="BG104" s="116"/>
      <c r="BH104" s="116"/>
      <c r="BI104" s="116"/>
      <c r="BJ104" s="116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BZ104" s="116"/>
      <c r="CA104" s="116"/>
      <c r="CB104" s="116"/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  <c r="DF104" s="116"/>
      <c r="DG104" s="116"/>
      <c r="DH104" s="116"/>
      <c r="DI104" s="116"/>
      <c r="DJ104" s="116"/>
      <c r="DK104" s="116"/>
      <c r="DL104" s="116"/>
      <c r="DM104" s="116"/>
      <c r="DN104" s="116"/>
      <c r="DO104" s="116"/>
      <c r="DP104" s="116"/>
      <c r="DQ104" s="116"/>
      <c r="DR104" s="116"/>
      <c r="DS104" s="116"/>
      <c r="DT104" s="116"/>
      <c r="DU104" s="116"/>
      <c r="DV104" s="116"/>
      <c r="DW104" s="116"/>
      <c r="DX104" s="116"/>
      <c r="DY104" s="116"/>
      <c r="DZ104" s="116"/>
      <c r="EA104" s="116"/>
      <c r="EB104" s="116"/>
      <c r="EC104" s="116"/>
      <c r="ED104" s="116"/>
      <c r="EE104" s="116"/>
      <c r="EF104" s="116"/>
      <c r="EG104" s="116"/>
      <c r="EH104" s="116"/>
      <c r="EI104" s="116"/>
      <c r="EJ104" s="116"/>
      <c r="EK104" s="116"/>
      <c r="EL104" s="116"/>
      <c r="EM104" s="116"/>
      <c r="EN104" s="116"/>
      <c r="EO104" s="116"/>
      <c r="EP104" s="116"/>
      <c r="EQ104" s="116"/>
      <c r="ER104" s="116"/>
      <c r="ES104" s="116"/>
      <c r="ET104" s="116"/>
      <c r="EU104" s="116"/>
      <c r="EV104" s="116"/>
      <c r="EW104" s="116"/>
      <c r="EX104" s="116"/>
      <c r="EY104" s="116"/>
      <c r="EZ104" s="116"/>
      <c r="FA104" s="116"/>
      <c r="FB104" s="116"/>
      <c r="FC104" s="116"/>
      <c r="FD104" s="116"/>
      <c r="FE104" s="116"/>
      <c r="FF104" s="116"/>
      <c r="FG104" s="116"/>
      <c r="FH104" s="116"/>
      <c r="FI104" s="116"/>
      <c r="FJ104" s="116"/>
      <c r="FK104" s="116"/>
      <c r="FL104" s="116"/>
      <c r="FM104" s="116"/>
      <c r="FN104" s="116"/>
      <c r="FO104" s="116"/>
      <c r="FP104" s="116"/>
      <c r="FQ104" s="116"/>
      <c r="FR104" s="116"/>
      <c r="FS104" s="116"/>
      <c r="FT104" s="116"/>
      <c r="FU104" s="116"/>
      <c r="FV104" s="116"/>
      <c r="FW104" s="116"/>
      <c r="FX104" s="116"/>
      <c r="FY104" s="116"/>
      <c r="FZ104" s="116"/>
      <c r="GA104" s="116"/>
      <c r="GB104" s="116"/>
      <c r="GC104" s="116"/>
      <c r="GD104" s="116"/>
      <c r="GE104" s="116"/>
      <c r="GF104" s="116"/>
      <c r="GG104" s="116"/>
      <c r="GH104" s="116"/>
      <c r="GI104" s="116"/>
      <c r="GJ104" s="116"/>
      <c r="GK104" s="116"/>
      <c r="GL104" s="116"/>
      <c r="GM104" s="116"/>
      <c r="GN104" s="116"/>
      <c r="GO104" s="116"/>
      <c r="GP104" s="116"/>
      <c r="GQ104" s="116"/>
      <c r="GR104" s="116"/>
      <c r="GS104" s="116"/>
      <c r="GT104" s="116"/>
      <c r="GU104" s="116"/>
      <c r="GV104" s="116"/>
      <c r="GW104" s="116"/>
      <c r="GX104" s="116"/>
      <c r="GY104" s="116"/>
      <c r="GZ104" s="116"/>
      <c r="HA104" s="116"/>
      <c r="HB104" s="116"/>
      <c r="HC104" s="116"/>
      <c r="HD104" s="116"/>
      <c r="HE104" s="116"/>
      <c r="HF104" s="116"/>
      <c r="HG104" s="116"/>
      <c r="HH104" s="116"/>
      <c r="HI104" s="116"/>
      <c r="HJ104" s="116"/>
      <c r="HK104" s="116"/>
      <c r="HL104" s="116"/>
      <c r="HM104" s="116"/>
      <c r="HN104" s="116"/>
      <c r="HO104" s="116"/>
      <c r="HP104" s="116"/>
      <c r="HQ104" s="116"/>
      <c r="HR104" s="116"/>
      <c r="HS104" s="116"/>
      <c r="HT104" s="116"/>
      <c r="HU104" s="116"/>
      <c r="HV104" s="116"/>
      <c r="HW104" s="116"/>
      <c r="HX104" s="116"/>
      <c r="HY104" s="116"/>
      <c r="HZ104" s="116"/>
      <c r="IA104" s="116"/>
      <c r="IB104" s="116"/>
      <c r="IC104" s="116"/>
      <c r="ID104" s="116"/>
      <c r="IE104" s="116"/>
      <c r="IF104" s="116"/>
      <c r="IG104" s="116"/>
      <c r="IH104" s="116"/>
      <c r="II104" s="116"/>
      <c r="IJ104" s="116"/>
      <c r="IK104" s="116"/>
      <c r="IL104" s="116"/>
      <c r="IM104" s="116"/>
      <c r="IN104" s="116"/>
      <c r="IO104" s="116"/>
      <c r="IP104" s="116"/>
      <c r="IQ104" s="116"/>
      <c r="IR104" s="116"/>
      <c r="IS104" s="116"/>
      <c r="IT104" s="116"/>
      <c r="IU104" s="116"/>
      <c r="IV104" s="116"/>
      <c r="IW104" s="116"/>
      <c r="IX104" s="116"/>
      <c r="IY104" s="116"/>
      <c r="IZ104" s="116"/>
    </row>
    <row r="105" spans="2:260" x14ac:dyDescent="0.3">
      <c r="B105" s="200" t="s">
        <v>231</v>
      </c>
      <c r="C105" s="271">
        <f>+C102-C103-C104</f>
        <v>0</v>
      </c>
      <c r="D105" s="271">
        <f>+D102-D103-D104</f>
        <v>-7416693745.7453308</v>
      </c>
      <c r="E105" s="271">
        <f t="shared" ref="E105:H105" si="19">+E102-E103-E104</f>
        <v>-8211825222.2106934</v>
      </c>
      <c r="F105" s="271">
        <f t="shared" si="19"/>
        <v>26773709037.967499</v>
      </c>
      <c r="G105" s="271">
        <f t="shared" si="19"/>
        <v>30131937065.888336</v>
      </c>
      <c r="H105" s="271">
        <f t="shared" si="19"/>
        <v>33875797295.537292</v>
      </c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5"/>
      <c r="BG105" s="145"/>
      <c r="BH105" s="145"/>
      <c r="BI105" s="145"/>
      <c r="BJ105" s="145"/>
      <c r="BK105" s="145"/>
      <c r="BL105" s="145"/>
      <c r="BM105" s="145"/>
      <c r="BN105" s="145"/>
      <c r="BO105" s="145"/>
      <c r="BP105" s="145"/>
      <c r="BQ105" s="145"/>
      <c r="BR105" s="145"/>
      <c r="BS105" s="145"/>
      <c r="BT105" s="145"/>
      <c r="BU105" s="145"/>
      <c r="BV105" s="145"/>
      <c r="BW105" s="145"/>
      <c r="BX105" s="145"/>
      <c r="BY105" s="145"/>
      <c r="BZ105" s="145"/>
      <c r="CA105" s="145"/>
      <c r="CB105" s="145"/>
      <c r="CC105" s="145"/>
      <c r="CD105" s="145"/>
      <c r="CE105" s="145"/>
      <c r="CF105" s="145"/>
      <c r="CG105" s="145"/>
      <c r="CH105" s="145"/>
      <c r="CI105" s="145"/>
      <c r="CJ105" s="145"/>
      <c r="CK105" s="145"/>
      <c r="CL105" s="145"/>
      <c r="CM105" s="145"/>
      <c r="CN105" s="145"/>
      <c r="CO105" s="145"/>
      <c r="CP105" s="145"/>
      <c r="CQ105" s="145"/>
      <c r="CR105" s="145"/>
      <c r="CS105" s="145"/>
      <c r="CT105" s="145"/>
      <c r="CU105" s="145"/>
      <c r="CV105" s="145"/>
      <c r="CW105" s="145"/>
      <c r="CX105" s="145"/>
      <c r="CY105" s="145"/>
      <c r="CZ105" s="145"/>
      <c r="DA105" s="145"/>
      <c r="DB105" s="145"/>
      <c r="DC105" s="145"/>
      <c r="DD105" s="145"/>
      <c r="DE105" s="145"/>
      <c r="DF105" s="145"/>
      <c r="DG105" s="145"/>
      <c r="DH105" s="145"/>
      <c r="DI105" s="145"/>
      <c r="DJ105" s="145"/>
      <c r="DK105" s="145"/>
      <c r="DL105" s="145"/>
      <c r="DM105" s="145"/>
      <c r="DN105" s="145"/>
      <c r="DO105" s="145"/>
      <c r="DP105" s="145"/>
      <c r="DQ105" s="145"/>
      <c r="DR105" s="145"/>
      <c r="DS105" s="145"/>
      <c r="DT105" s="145"/>
      <c r="DU105" s="145"/>
      <c r="DV105" s="145"/>
      <c r="DW105" s="145"/>
      <c r="DX105" s="145"/>
      <c r="DY105" s="145"/>
      <c r="DZ105" s="145"/>
      <c r="EA105" s="145"/>
      <c r="EB105" s="145"/>
      <c r="EC105" s="145"/>
      <c r="ED105" s="145"/>
      <c r="EE105" s="145"/>
      <c r="EF105" s="145"/>
      <c r="EG105" s="145"/>
      <c r="EH105" s="145"/>
      <c r="EI105" s="145"/>
      <c r="EJ105" s="145"/>
      <c r="EK105" s="145"/>
      <c r="EL105" s="145"/>
      <c r="EM105" s="145"/>
      <c r="EN105" s="145"/>
      <c r="EO105" s="145"/>
      <c r="EP105" s="145"/>
      <c r="EQ105" s="145"/>
      <c r="ER105" s="145"/>
      <c r="ES105" s="145"/>
      <c r="ET105" s="145"/>
      <c r="EU105" s="145"/>
      <c r="EV105" s="145"/>
      <c r="EW105" s="145"/>
      <c r="EX105" s="145"/>
      <c r="EY105" s="145"/>
      <c r="EZ105" s="145"/>
      <c r="FA105" s="145"/>
      <c r="FB105" s="145"/>
      <c r="FC105" s="145"/>
      <c r="FD105" s="145"/>
      <c r="FE105" s="145"/>
      <c r="FF105" s="145"/>
      <c r="FG105" s="145"/>
      <c r="FH105" s="145"/>
      <c r="FI105" s="145"/>
      <c r="FJ105" s="145"/>
      <c r="FK105" s="145"/>
      <c r="FL105" s="145"/>
      <c r="FM105" s="145"/>
      <c r="FN105" s="145"/>
      <c r="FO105" s="145"/>
      <c r="FP105" s="145"/>
      <c r="FQ105" s="145"/>
      <c r="FR105" s="145"/>
      <c r="FS105" s="145"/>
      <c r="FT105" s="145"/>
      <c r="FU105" s="145"/>
      <c r="FV105" s="145"/>
      <c r="FW105" s="145"/>
      <c r="FX105" s="145"/>
      <c r="FY105" s="145"/>
      <c r="FZ105" s="145"/>
      <c r="GA105" s="145"/>
      <c r="GB105" s="145"/>
      <c r="GC105" s="145"/>
      <c r="GD105" s="145"/>
      <c r="GE105" s="145"/>
      <c r="GF105" s="145"/>
      <c r="GG105" s="145"/>
      <c r="GH105" s="145"/>
      <c r="GI105" s="145"/>
      <c r="GJ105" s="145"/>
      <c r="GK105" s="145"/>
      <c r="GL105" s="145"/>
      <c r="GM105" s="145"/>
      <c r="GN105" s="145"/>
      <c r="GO105" s="145"/>
      <c r="GP105" s="145"/>
      <c r="GQ105" s="145"/>
      <c r="GR105" s="145"/>
      <c r="GS105" s="145"/>
      <c r="GT105" s="145"/>
      <c r="GU105" s="145"/>
      <c r="GV105" s="145"/>
      <c r="GW105" s="145"/>
      <c r="GX105" s="145"/>
      <c r="GY105" s="145"/>
      <c r="GZ105" s="145"/>
      <c r="HA105" s="145"/>
      <c r="HB105" s="145"/>
      <c r="HC105" s="145"/>
      <c r="HD105" s="145"/>
      <c r="HE105" s="145"/>
      <c r="HF105" s="145"/>
      <c r="HG105" s="145"/>
      <c r="HH105" s="145"/>
      <c r="HI105" s="145"/>
      <c r="HJ105" s="145"/>
      <c r="HK105" s="145"/>
      <c r="HL105" s="145"/>
      <c r="HM105" s="145"/>
      <c r="HN105" s="145"/>
      <c r="HO105" s="145"/>
      <c r="HP105" s="145"/>
      <c r="HQ105" s="145"/>
      <c r="HR105" s="145"/>
      <c r="HS105" s="145"/>
      <c r="HT105" s="145"/>
      <c r="HU105" s="145"/>
      <c r="HV105" s="145"/>
      <c r="HW105" s="145"/>
      <c r="HX105" s="145"/>
      <c r="HY105" s="145"/>
      <c r="HZ105" s="145"/>
      <c r="IA105" s="145"/>
      <c r="IB105" s="145"/>
      <c r="IC105" s="145"/>
      <c r="ID105" s="145"/>
      <c r="IE105" s="145"/>
      <c r="IF105" s="145"/>
      <c r="IG105" s="145"/>
      <c r="IH105" s="145"/>
      <c r="II105" s="145"/>
      <c r="IJ105" s="145"/>
      <c r="IK105" s="145"/>
      <c r="IL105" s="145"/>
      <c r="IM105" s="145"/>
      <c r="IN105" s="145"/>
      <c r="IO105" s="145"/>
      <c r="IP105" s="145"/>
      <c r="IQ105" s="145"/>
      <c r="IR105" s="145"/>
      <c r="IS105" s="145"/>
      <c r="IT105" s="145"/>
      <c r="IU105" s="145"/>
      <c r="IV105" s="145"/>
      <c r="IW105" s="145"/>
      <c r="IX105" s="145"/>
      <c r="IY105" s="145"/>
      <c r="IZ105" s="145"/>
    </row>
    <row r="106" spans="2:260" x14ac:dyDescent="0.3">
      <c r="B106" s="140" t="s">
        <v>184</v>
      </c>
      <c r="C106" s="231"/>
      <c r="D106" s="235">
        <v>0</v>
      </c>
      <c r="E106" s="235">
        <v>0</v>
      </c>
      <c r="F106" s="235">
        <f t="shared" ref="F106:H106" si="20">+F105*$C$75</f>
        <v>9370798163.2886238</v>
      </c>
      <c r="G106" s="235">
        <f t="shared" si="20"/>
        <v>10546177973.060917</v>
      </c>
      <c r="H106" s="235">
        <f t="shared" si="20"/>
        <v>11856529053.438051</v>
      </c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  <c r="DM106" s="116"/>
      <c r="DN106" s="116"/>
      <c r="DO106" s="116"/>
      <c r="DP106" s="116"/>
      <c r="DQ106" s="116"/>
      <c r="DR106" s="116"/>
      <c r="DS106" s="116"/>
      <c r="DT106" s="116"/>
      <c r="DU106" s="116"/>
      <c r="DV106" s="116"/>
      <c r="DW106" s="116"/>
      <c r="DX106" s="116"/>
      <c r="DY106" s="116"/>
      <c r="DZ106" s="116"/>
      <c r="EA106" s="116"/>
      <c r="EB106" s="116"/>
      <c r="EC106" s="116"/>
      <c r="ED106" s="116"/>
      <c r="EE106" s="116"/>
      <c r="EF106" s="116"/>
      <c r="EG106" s="116"/>
      <c r="EH106" s="116"/>
      <c r="EI106" s="116"/>
      <c r="EJ106" s="116"/>
      <c r="EK106" s="116"/>
      <c r="EL106" s="116"/>
      <c r="EM106" s="116"/>
      <c r="EN106" s="116"/>
      <c r="EO106" s="116"/>
      <c r="EP106" s="116"/>
      <c r="EQ106" s="116"/>
      <c r="ER106" s="116"/>
      <c r="ES106" s="116"/>
      <c r="ET106" s="116"/>
      <c r="EU106" s="116"/>
      <c r="EV106" s="116"/>
      <c r="EW106" s="116"/>
      <c r="EX106" s="116"/>
      <c r="EY106" s="116"/>
      <c r="EZ106" s="116"/>
      <c r="FA106" s="116"/>
      <c r="FB106" s="116"/>
      <c r="FC106" s="116"/>
      <c r="FD106" s="116"/>
      <c r="FE106" s="116"/>
      <c r="FF106" s="116"/>
      <c r="FG106" s="116"/>
      <c r="FH106" s="116"/>
      <c r="FI106" s="116"/>
      <c r="FJ106" s="116"/>
      <c r="FK106" s="116"/>
      <c r="FL106" s="116"/>
      <c r="FM106" s="116"/>
      <c r="FN106" s="116"/>
      <c r="FO106" s="116"/>
      <c r="FP106" s="116"/>
      <c r="FQ106" s="116"/>
      <c r="FR106" s="116"/>
      <c r="FS106" s="116"/>
      <c r="FT106" s="116"/>
      <c r="FU106" s="116"/>
      <c r="FV106" s="116"/>
      <c r="FW106" s="116"/>
      <c r="FX106" s="116"/>
      <c r="FY106" s="116"/>
      <c r="FZ106" s="116"/>
      <c r="GA106" s="116"/>
      <c r="GB106" s="116"/>
      <c r="GC106" s="116"/>
      <c r="GD106" s="116"/>
      <c r="GE106" s="116"/>
      <c r="GF106" s="116"/>
      <c r="GG106" s="116"/>
      <c r="GH106" s="116"/>
      <c r="GI106" s="116"/>
      <c r="GJ106" s="116"/>
      <c r="GK106" s="116"/>
      <c r="GL106" s="116"/>
      <c r="GM106" s="116"/>
      <c r="GN106" s="116"/>
      <c r="GO106" s="116"/>
      <c r="GP106" s="116"/>
      <c r="GQ106" s="116"/>
      <c r="GR106" s="116"/>
      <c r="GS106" s="116"/>
      <c r="GT106" s="116"/>
      <c r="GU106" s="116"/>
      <c r="GV106" s="116"/>
      <c r="GW106" s="116"/>
      <c r="GX106" s="116"/>
      <c r="GY106" s="116"/>
      <c r="GZ106" s="116"/>
      <c r="HA106" s="116"/>
      <c r="HB106" s="116"/>
      <c r="HC106" s="116"/>
      <c r="HD106" s="116"/>
      <c r="HE106" s="116"/>
      <c r="HF106" s="116"/>
      <c r="HG106" s="116"/>
      <c r="HH106" s="116"/>
      <c r="HI106" s="116"/>
      <c r="HJ106" s="116"/>
      <c r="HK106" s="116"/>
      <c r="HL106" s="116"/>
      <c r="HM106" s="116"/>
      <c r="HN106" s="116"/>
      <c r="HO106" s="116"/>
      <c r="HP106" s="116"/>
      <c r="HQ106" s="116"/>
      <c r="HR106" s="116"/>
      <c r="HS106" s="116"/>
      <c r="HT106" s="116"/>
      <c r="HU106" s="116"/>
      <c r="HV106" s="116"/>
      <c r="HW106" s="116"/>
      <c r="HX106" s="116"/>
      <c r="HY106" s="116"/>
      <c r="HZ106" s="116"/>
      <c r="IA106" s="116"/>
      <c r="IB106" s="116"/>
      <c r="IC106" s="116"/>
      <c r="ID106" s="116"/>
      <c r="IE106" s="116"/>
      <c r="IF106" s="116"/>
      <c r="IG106" s="116"/>
      <c r="IH106" s="116"/>
      <c r="II106" s="116"/>
      <c r="IJ106" s="116"/>
      <c r="IK106" s="116"/>
      <c r="IL106" s="116"/>
      <c r="IM106" s="116"/>
      <c r="IN106" s="116"/>
      <c r="IO106" s="116"/>
      <c r="IP106" s="116"/>
      <c r="IQ106" s="116"/>
      <c r="IR106" s="116"/>
      <c r="IS106" s="116"/>
      <c r="IT106" s="116"/>
      <c r="IU106" s="116"/>
      <c r="IV106" s="116"/>
      <c r="IW106" s="116"/>
      <c r="IX106" s="116"/>
      <c r="IY106" s="116"/>
      <c r="IZ106" s="116"/>
    </row>
    <row r="107" spans="2:260" x14ac:dyDescent="0.3">
      <c r="B107" s="140" t="s">
        <v>185</v>
      </c>
      <c r="C107" s="231"/>
      <c r="D107" s="229">
        <f>+D103</f>
        <v>3000000</v>
      </c>
      <c r="E107" s="229">
        <f t="shared" ref="E107:H108" si="21">+E103</f>
        <v>3000000</v>
      </c>
      <c r="F107" s="229">
        <f t="shared" si="21"/>
        <v>3000000</v>
      </c>
      <c r="G107" s="229">
        <f t="shared" si="21"/>
        <v>3000000</v>
      </c>
      <c r="H107" s="229">
        <f t="shared" si="21"/>
        <v>3000000</v>
      </c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  <c r="CQ107" s="116"/>
      <c r="CR107" s="116"/>
      <c r="CS107" s="116"/>
      <c r="CT107" s="116"/>
      <c r="CU107" s="116"/>
      <c r="CV107" s="116"/>
      <c r="CW107" s="116"/>
      <c r="CX107" s="116"/>
      <c r="CY107" s="116"/>
      <c r="CZ107" s="116"/>
      <c r="DA107" s="116"/>
      <c r="DB107" s="116"/>
      <c r="DC107" s="116"/>
      <c r="DD107" s="116"/>
      <c r="DE107" s="116"/>
      <c r="DF107" s="116"/>
      <c r="DG107" s="116"/>
      <c r="DH107" s="116"/>
      <c r="DI107" s="116"/>
      <c r="DJ107" s="116"/>
      <c r="DK107" s="116"/>
      <c r="DL107" s="116"/>
      <c r="DM107" s="116"/>
      <c r="DN107" s="116"/>
      <c r="DO107" s="116"/>
      <c r="DP107" s="116"/>
      <c r="DQ107" s="116"/>
      <c r="DR107" s="116"/>
      <c r="DS107" s="116"/>
      <c r="DT107" s="116"/>
      <c r="DU107" s="116"/>
      <c r="DV107" s="116"/>
      <c r="DW107" s="116"/>
      <c r="DX107" s="116"/>
      <c r="DY107" s="116"/>
      <c r="DZ107" s="116"/>
      <c r="EA107" s="116"/>
      <c r="EB107" s="116"/>
      <c r="EC107" s="116"/>
      <c r="ED107" s="116"/>
      <c r="EE107" s="116"/>
      <c r="EF107" s="116"/>
      <c r="EG107" s="116"/>
      <c r="EH107" s="116"/>
      <c r="EI107" s="116"/>
      <c r="EJ107" s="116"/>
      <c r="EK107" s="116"/>
      <c r="EL107" s="116"/>
      <c r="EM107" s="116"/>
      <c r="EN107" s="116"/>
      <c r="EO107" s="116"/>
      <c r="EP107" s="116"/>
      <c r="EQ107" s="116"/>
      <c r="ER107" s="116"/>
      <c r="ES107" s="116"/>
      <c r="ET107" s="116"/>
      <c r="EU107" s="116"/>
      <c r="EV107" s="116"/>
      <c r="EW107" s="116"/>
      <c r="EX107" s="116"/>
      <c r="EY107" s="116"/>
      <c r="EZ107" s="116"/>
      <c r="FA107" s="116"/>
      <c r="FB107" s="116"/>
      <c r="FC107" s="116"/>
      <c r="FD107" s="116"/>
      <c r="FE107" s="116"/>
      <c r="FF107" s="116"/>
      <c r="FG107" s="116"/>
      <c r="FH107" s="116"/>
      <c r="FI107" s="116"/>
      <c r="FJ107" s="116"/>
      <c r="FK107" s="116"/>
      <c r="FL107" s="116"/>
      <c r="FM107" s="116"/>
      <c r="FN107" s="116"/>
      <c r="FO107" s="116"/>
      <c r="FP107" s="116"/>
      <c r="FQ107" s="116"/>
      <c r="FR107" s="116"/>
      <c r="FS107" s="116"/>
      <c r="FT107" s="116"/>
      <c r="FU107" s="116"/>
      <c r="FV107" s="116"/>
      <c r="FW107" s="116"/>
      <c r="FX107" s="116"/>
      <c r="FY107" s="116"/>
      <c r="FZ107" s="116"/>
      <c r="GA107" s="116"/>
      <c r="GB107" s="116"/>
      <c r="GC107" s="116"/>
      <c r="GD107" s="116"/>
      <c r="GE107" s="116"/>
      <c r="GF107" s="116"/>
      <c r="GG107" s="116"/>
      <c r="GH107" s="116"/>
      <c r="GI107" s="116"/>
      <c r="GJ107" s="116"/>
      <c r="GK107" s="116"/>
      <c r="GL107" s="116"/>
      <c r="GM107" s="116"/>
      <c r="GN107" s="116"/>
      <c r="GO107" s="116"/>
      <c r="GP107" s="116"/>
      <c r="GQ107" s="116"/>
      <c r="GR107" s="116"/>
      <c r="GS107" s="116"/>
      <c r="GT107" s="116"/>
      <c r="GU107" s="116"/>
      <c r="GV107" s="116"/>
      <c r="GW107" s="116"/>
      <c r="GX107" s="116"/>
      <c r="GY107" s="116"/>
      <c r="GZ107" s="116"/>
      <c r="HA107" s="116"/>
      <c r="HB107" s="116"/>
      <c r="HC107" s="116"/>
      <c r="HD107" s="116"/>
      <c r="HE107" s="116"/>
      <c r="HF107" s="116"/>
      <c r="HG107" s="116"/>
      <c r="HH107" s="116"/>
      <c r="HI107" s="116"/>
      <c r="HJ107" s="116"/>
      <c r="HK107" s="116"/>
      <c r="HL107" s="116"/>
      <c r="HM107" s="116"/>
      <c r="HN107" s="116"/>
      <c r="HO107" s="116"/>
      <c r="HP107" s="116"/>
      <c r="HQ107" s="116"/>
      <c r="HR107" s="116"/>
      <c r="HS107" s="116"/>
      <c r="HT107" s="116"/>
      <c r="HU107" s="116"/>
      <c r="HV107" s="116"/>
      <c r="HW107" s="116"/>
      <c r="HX107" s="116"/>
      <c r="HY107" s="116"/>
      <c r="HZ107" s="116"/>
      <c r="IA107" s="116"/>
      <c r="IB107" s="116"/>
      <c r="IC107" s="116"/>
      <c r="ID107" s="116"/>
      <c r="IE107" s="116"/>
      <c r="IF107" s="116"/>
      <c r="IG107" s="116"/>
      <c r="IH107" s="116"/>
      <c r="II107" s="116"/>
      <c r="IJ107" s="116"/>
      <c r="IK107" s="116"/>
      <c r="IL107" s="116"/>
      <c r="IM107" s="116"/>
      <c r="IN107" s="116"/>
      <c r="IO107" s="116"/>
      <c r="IP107" s="116"/>
      <c r="IQ107" s="116"/>
      <c r="IR107" s="116"/>
      <c r="IS107" s="116"/>
      <c r="IT107" s="116"/>
      <c r="IU107" s="116"/>
      <c r="IV107" s="116"/>
      <c r="IW107" s="116"/>
      <c r="IX107" s="116"/>
      <c r="IY107" s="116"/>
      <c r="IZ107" s="116"/>
    </row>
    <row r="108" spans="2:260" x14ac:dyDescent="0.3">
      <c r="B108" s="140" t="s">
        <v>186</v>
      </c>
      <c r="C108" s="231"/>
      <c r="D108" s="229">
        <f>+D104</f>
        <v>5016000</v>
      </c>
      <c r="E108" s="229">
        <f t="shared" si="21"/>
        <v>5016000</v>
      </c>
      <c r="F108" s="229">
        <f t="shared" si="21"/>
        <v>5016000</v>
      </c>
      <c r="G108" s="229">
        <f t="shared" si="21"/>
        <v>5016000</v>
      </c>
      <c r="H108" s="229">
        <f t="shared" si="21"/>
        <v>5016000</v>
      </c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  <c r="BD108" s="116"/>
      <c r="BE108" s="116"/>
      <c r="BF108" s="116"/>
      <c r="BG108" s="116"/>
      <c r="BH108" s="116"/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  <c r="DC108" s="116"/>
      <c r="DD108" s="116"/>
      <c r="DE108" s="116"/>
      <c r="DF108" s="116"/>
      <c r="DG108" s="116"/>
      <c r="DH108" s="116"/>
      <c r="DI108" s="116"/>
      <c r="DJ108" s="116"/>
      <c r="DK108" s="116"/>
      <c r="DL108" s="116"/>
      <c r="DM108" s="116"/>
      <c r="DN108" s="116"/>
      <c r="DO108" s="116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16"/>
      <c r="EC108" s="116"/>
      <c r="ED108" s="116"/>
      <c r="EE108" s="116"/>
      <c r="EF108" s="116"/>
      <c r="EG108" s="116"/>
      <c r="EH108" s="116"/>
      <c r="EI108" s="116"/>
      <c r="EJ108" s="116"/>
      <c r="EK108" s="116"/>
      <c r="EL108" s="116"/>
      <c r="EM108" s="116"/>
      <c r="EN108" s="116"/>
      <c r="EO108" s="116"/>
      <c r="EP108" s="116"/>
      <c r="EQ108" s="116"/>
      <c r="ER108" s="116"/>
      <c r="ES108" s="116"/>
      <c r="ET108" s="116"/>
      <c r="EU108" s="116"/>
      <c r="EV108" s="116"/>
      <c r="EW108" s="116"/>
      <c r="EX108" s="116"/>
      <c r="EY108" s="116"/>
      <c r="EZ108" s="116"/>
      <c r="FA108" s="116"/>
      <c r="FB108" s="116"/>
      <c r="FC108" s="116"/>
      <c r="FD108" s="116"/>
      <c r="FE108" s="116"/>
      <c r="FF108" s="116"/>
      <c r="FG108" s="116"/>
      <c r="FH108" s="116"/>
      <c r="FI108" s="116"/>
      <c r="FJ108" s="116"/>
      <c r="FK108" s="116"/>
      <c r="FL108" s="116"/>
      <c r="FM108" s="116"/>
      <c r="FN108" s="116"/>
      <c r="FO108" s="116"/>
      <c r="FP108" s="116"/>
      <c r="FQ108" s="116"/>
      <c r="FR108" s="116"/>
      <c r="FS108" s="116"/>
      <c r="FT108" s="116"/>
      <c r="FU108" s="116"/>
      <c r="FV108" s="116"/>
      <c r="FW108" s="116"/>
      <c r="FX108" s="116"/>
      <c r="FY108" s="116"/>
      <c r="FZ108" s="116"/>
      <c r="GA108" s="116"/>
      <c r="GB108" s="116"/>
      <c r="GC108" s="116"/>
      <c r="GD108" s="116"/>
      <c r="GE108" s="116"/>
      <c r="GF108" s="116"/>
      <c r="GG108" s="116"/>
      <c r="GH108" s="116"/>
      <c r="GI108" s="116"/>
      <c r="GJ108" s="116"/>
      <c r="GK108" s="116"/>
      <c r="GL108" s="116"/>
      <c r="GM108" s="116"/>
      <c r="GN108" s="116"/>
      <c r="GO108" s="116"/>
      <c r="GP108" s="116"/>
      <c r="GQ108" s="116"/>
      <c r="GR108" s="116"/>
      <c r="GS108" s="116"/>
      <c r="GT108" s="116"/>
      <c r="GU108" s="116"/>
      <c r="GV108" s="116"/>
      <c r="GW108" s="116"/>
      <c r="GX108" s="116"/>
      <c r="GY108" s="116"/>
      <c r="GZ108" s="116"/>
      <c r="HA108" s="116"/>
      <c r="HB108" s="116"/>
      <c r="HC108" s="116"/>
      <c r="HD108" s="116"/>
      <c r="HE108" s="116"/>
      <c r="HF108" s="116"/>
      <c r="HG108" s="116"/>
      <c r="HH108" s="116"/>
      <c r="HI108" s="116"/>
      <c r="HJ108" s="116"/>
      <c r="HK108" s="116"/>
      <c r="HL108" s="116"/>
      <c r="HM108" s="116"/>
      <c r="HN108" s="116"/>
      <c r="HO108" s="116"/>
      <c r="HP108" s="116"/>
      <c r="HQ108" s="116"/>
      <c r="HR108" s="116"/>
      <c r="HS108" s="116"/>
      <c r="HT108" s="116"/>
      <c r="HU108" s="116"/>
      <c r="HV108" s="116"/>
      <c r="HW108" s="116"/>
      <c r="HX108" s="116"/>
      <c r="HY108" s="116"/>
      <c r="HZ108" s="116"/>
      <c r="IA108" s="116"/>
      <c r="IB108" s="116"/>
      <c r="IC108" s="116"/>
      <c r="ID108" s="116"/>
      <c r="IE108" s="116"/>
      <c r="IF108" s="116"/>
      <c r="IG108" s="116"/>
      <c r="IH108" s="116"/>
      <c r="II108" s="116"/>
      <c r="IJ108" s="116"/>
      <c r="IK108" s="116"/>
      <c r="IL108" s="116"/>
      <c r="IM108" s="116"/>
      <c r="IN108" s="116"/>
      <c r="IO108" s="116"/>
      <c r="IP108" s="116"/>
      <c r="IQ108" s="116"/>
      <c r="IR108" s="116"/>
      <c r="IS108" s="116"/>
      <c r="IT108" s="116"/>
      <c r="IU108" s="116"/>
      <c r="IV108" s="116"/>
      <c r="IW108" s="116"/>
      <c r="IX108" s="116"/>
      <c r="IY108" s="116"/>
      <c r="IZ108" s="116"/>
    </row>
    <row r="109" spans="2:260" x14ac:dyDescent="0.3">
      <c r="B109" s="158" t="s">
        <v>187</v>
      </c>
      <c r="C109" s="235">
        <f t="shared" ref="C109:H110" si="22">+C27</f>
        <v>30705000</v>
      </c>
      <c r="D109" s="235">
        <f t="shared" si="22"/>
        <v>0</v>
      </c>
      <c r="E109" s="235">
        <f t="shared" si="22"/>
        <v>11674218.183878249</v>
      </c>
      <c r="F109" s="235">
        <f t="shared" si="22"/>
        <v>0</v>
      </c>
      <c r="G109" s="235">
        <f t="shared" si="22"/>
        <v>0</v>
      </c>
      <c r="H109" s="235">
        <f t="shared" si="22"/>
        <v>2398226.1808879329</v>
      </c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  <c r="BM109" s="116"/>
      <c r="BN109" s="116"/>
      <c r="BO109" s="116"/>
      <c r="BP109" s="116"/>
      <c r="BQ109" s="116"/>
      <c r="BR109" s="116"/>
      <c r="BS109" s="116"/>
      <c r="BT109" s="116"/>
      <c r="BU109" s="116"/>
      <c r="BV109" s="116"/>
      <c r="BW109" s="116"/>
      <c r="BX109" s="116"/>
      <c r="BY109" s="116"/>
      <c r="BZ109" s="116"/>
      <c r="CA109" s="116"/>
      <c r="CB109" s="116"/>
      <c r="CC109" s="116"/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  <c r="DC109" s="116"/>
      <c r="DD109" s="116"/>
      <c r="DE109" s="116"/>
      <c r="DF109" s="116"/>
      <c r="DG109" s="116"/>
      <c r="DH109" s="116"/>
      <c r="DI109" s="116"/>
      <c r="DJ109" s="116"/>
      <c r="DK109" s="116"/>
      <c r="DL109" s="116"/>
      <c r="DM109" s="116"/>
      <c r="DN109" s="116"/>
      <c r="DO109" s="116"/>
      <c r="DP109" s="116"/>
      <c r="DQ109" s="116"/>
      <c r="DR109" s="116"/>
      <c r="DS109" s="116"/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/>
      <c r="EI109" s="116"/>
      <c r="EJ109" s="116"/>
      <c r="EK109" s="116"/>
      <c r="EL109" s="116"/>
      <c r="EM109" s="116"/>
      <c r="EN109" s="116"/>
      <c r="EO109" s="116"/>
      <c r="EP109" s="116"/>
      <c r="EQ109" s="116"/>
      <c r="ER109" s="116"/>
      <c r="ES109" s="116"/>
      <c r="ET109" s="116"/>
      <c r="EU109" s="116"/>
      <c r="EV109" s="116"/>
      <c r="EW109" s="116"/>
      <c r="EX109" s="116"/>
      <c r="EY109" s="116"/>
      <c r="EZ109" s="116"/>
      <c r="FA109" s="116"/>
      <c r="FB109" s="116"/>
      <c r="FC109" s="116"/>
      <c r="FD109" s="116"/>
      <c r="FE109" s="116"/>
      <c r="FF109" s="116"/>
      <c r="FG109" s="116"/>
      <c r="FH109" s="116"/>
      <c r="FI109" s="116"/>
      <c r="FJ109" s="116"/>
      <c r="FK109" s="116"/>
      <c r="FL109" s="116"/>
      <c r="FM109" s="116"/>
      <c r="FN109" s="116"/>
      <c r="FO109" s="116"/>
      <c r="FP109" s="116"/>
      <c r="FQ109" s="116"/>
      <c r="FR109" s="116"/>
      <c r="FS109" s="116"/>
      <c r="FT109" s="116"/>
      <c r="FU109" s="116"/>
      <c r="FV109" s="116"/>
      <c r="FW109" s="116"/>
      <c r="FX109" s="116"/>
      <c r="FY109" s="116"/>
      <c r="FZ109" s="116"/>
      <c r="GA109" s="116"/>
      <c r="GB109" s="116"/>
      <c r="GC109" s="116"/>
      <c r="GD109" s="116"/>
      <c r="GE109" s="116"/>
      <c r="GF109" s="116"/>
      <c r="GG109" s="116"/>
      <c r="GH109" s="116"/>
      <c r="GI109" s="116"/>
      <c r="GJ109" s="116"/>
      <c r="GK109" s="116"/>
      <c r="GL109" s="116"/>
      <c r="GM109" s="116"/>
      <c r="GN109" s="116"/>
      <c r="GO109" s="116"/>
      <c r="GP109" s="116"/>
      <c r="GQ109" s="116"/>
      <c r="GR109" s="116"/>
      <c r="GS109" s="116"/>
      <c r="GT109" s="116"/>
      <c r="GU109" s="116"/>
      <c r="GV109" s="116"/>
      <c r="GW109" s="116"/>
      <c r="GX109" s="116"/>
      <c r="GY109" s="116"/>
      <c r="GZ109" s="116"/>
      <c r="HA109" s="116"/>
      <c r="HB109" s="116"/>
      <c r="HC109" s="116"/>
      <c r="HD109" s="116"/>
      <c r="HE109" s="116"/>
      <c r="HF109" s="116"/>
      <c r="HG109" s="116"/>
      <c r="HH109" s="116"/>
      <c r="HI109" s="116"/>
      <c r="HJ109" s="116"/>
      <c r="HK109" s="116"/>
      <c r="HL109" s="116"/>
      <c r="HM109" s="116"/>
      <c r="HN109" s="116"/>
      <c r="HO109" s="116"/>
      <c r="HP109" s="116"/>
      <c r="HQ109" s="116"/>
      <c r="HR109" s="116"/>
      <c r="HS109" s="116"/>
      <c r="HT109" s="116"/>
      <c r="HU109" s="116"/>
      <c r="HV109" s="116"/>
      <c r="HW109" s="116"/>
      <c r="HX109" s="116"/>
      <c r="HY109" s="116"/>
      <c r="HZ109" s="116"/>
      <c r="IA109" s="116"/>
      <c r="IB109" s="116"/>
      <c r="IC109" s="116"/>
      <c r="ID109" s="116"/>
      <c r="IE109" s="116"/>
      <c r="IF109" s="116"/>
      <c r="IG109" s="116"/>
      <c r="IH109" s="116"/>
      <c r="II109" s="116"/>
      <c r="IJ109" s="116"/>
      <c r="IK109" s="116"/>
      <c r="IL109" s="116"/>
      <c r="IM109" s="116"/>
      <c r="IN109" s="116"/>
      <c r="IO109" s="116"/>
      <c r="IP109" s="116"/>
      <c r="IQ109" s="116"/>
      <c r="IR109" s="116"/>
      <c r="IS109" s="116"/>
      <c r="IT109" s="116"/>
      <c r="IU109" s="116"/>
      <c r="IV109" s="116"/>
      <c r="IW109" s="116"/>
      <c r="IX109" s="116"/>
      <c r="IY109" s="116"/>
      <c r="IZ109" s="116"/>
    </row>
    <row r="110" spans="2:260" x14ac:dyDescent="0.3">
      <c r="B110" s="158" t="s">
        <v>188</v>
      </c>
      <c r="C110" s="235">
        <f t="shared" si="22"/>
        <v>40000000</v>
      </c>
      <c r="D110" s="235">
        <f t="shared" si="22"/>
        <v>0</v>
      </c>
      <c r="E110" s="235">
        <f t="shared" si="22"/>
        <v>0</v>
      </c>
      <c r="F110" s="235">
        <f t="shared" si="22"/>
        <v>0</v>
      </c>
      <c r="G110" s="235">
        <f t="shared" si="22"/>
        <v>0</v>
      </c>
      <c r="H110" s="235">
        <f t="shared" si="22"/>
        <v>0</v>
      </c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BZ110" s="116"/>
      <c r="CA110" s="116"/>
      <c r="CB110" s="116"/>
      <c r="CC110" s="116"/>
      <c r="CD110" s="116"/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  <c r="DC110" s="116"/>
      <c r="DD110" s="116"/>
      <c r="DE110" s="116"/>
      <c r="DF110" s="116"/>
      <c r="DG110" s="116"/>
      <c r="DH110" s="116"/>
      <c r="DI110" s="116"/>
      <c r="DJ110" s="116"/>
      <c r="DK110" s="116"/>
      <c r="DL110" s="116"/>
      <c r="DM110" s="116"/>
      <c r="DN110" s="116"/>
      <c r="DO110" s="116"/>
      <c r="DP110" s="116"/>
      <c r="DQ110" s="116"/>
      <c r="DR110" s="116"/>
      <c r="DS110" s="116"/>
      <c r="DT110" s="116"/>
      <c r="DU110" s="116"/>
      <c r="DV110" s="116"/>
      <c r="DW110" s="116"/>
      <c r="DX110" s="116"/>
      <c r="DY110" s="116"/>
      <c r="DZ110" s="116"/>
      <c r="EA110" s="116"/>
      <c r="EB110" s="116"/>
      <c r="EC110" s="116"/>
      <c r="ED110" s="116"/>
      <c r="EE110" s="116"/>
      <c r="EF110" s="116"/>
      <c r="EG110" s="116"/>
      <c r="EH110" s="116"/>
      <c r="EI110" s="116"/>
      <c r="EJ110" s="116"/>
      <c r="EK110" s="116"/>
      <c r="EL110" s="116"/>
      <c r="EM110" s="116"/>
      <c r="EN110" s="116"/>
      <c r="EO110" s="116"/>
      <c r="EP110" s="116"/>
      <c r="EQ110" s="116"/>
      <c r="ER110" s="116"/>
      <c r="ES110" s="116"/>
      <c r="ET110" s="116"/>
      <c r="EU110" s="116"/>
      <c r="EV110" s="116"/>
      <c r="EW110" s="116"/>
      <c r="EX110" s="116"/>
      <c r="EY110" s="116"/>
      <c r="EZ110" s="116"/>
      <c r="FA110" s="116"/>
      <c r="FB110" s="116"/>
      <c r="FC110" s="116"/>
      <c r="FD110" s="116"/>
      <c r="FE110" s="116"/>
      <c r="FF110" s="116"/>
      <c r="FG110" s="116"/>
      <c r="FH110" s="116"/>
      <c r="FI110" s="116"/>
      <c r="FJ110" s="116"/>
      <c r="FK110" s="116"/>
      <c r="FL110" s="116"/>
      <c r="FM110" s="116"/>
      <c r="FN110" s="116"/>
      <c r="FO110" s="116"/>
      <c r="FP110" s="116"/>
      <c r="FQ110" s="116"/>
      <c r="FR110" s="116"/>
      <c r="FS110" s="116"/>
      <c r="FT110" s="116"/>
      <c r="FU110" s="116"/>
      <c r="FV110" s="116"/>
      <c r="FW110" s="116"/>
      <c r="FX110" s="116"/>
      <c r="FY110" s="116"/>
      <c r="FZ110" s="116"/>
      <c r="GA110" s="116"/>
      <c r="GB110" s="116"/>
      <c r="GC110" s="116"/>
      <c r="GD110" s="116"/>
      <c r="GE110" s="116"/>
      <c r="GF110" s="116"/>
      <c r="GG110" s="116"/>
      <c r="GH110" s="116"/>
      <c r="GI110" s="116"/>
      <c r="GJ110" s="116"/>
      <c r="GK110" s="116"/>
      <c r="GL110" s="116"/>
      <c r="GM110" s="116"/>
      <c r="GN110" s="116"/>
      <c r="GO110" s="116"/>
      <c r="GP110" s="116"/>
      <c r="GQ110" s="116"/>
      <c r="GR110" s="116"/>
      <c r="GS110" s="116"/>
      <c r="GT110" s="116"/>
      <c r="GU110" s="116"/>
      <c r="GV110" s="116"/>
      <c r="GW110" s="116"/>
      <c r="GX110" s="116"/>
      <c r="GY110" s="116"/>
      <c r="GZ110" s="116"/>
      <c r="HA110" s="116"/>
      <c r="HB110" s="116"/>
      <c r="HC110" s="116"/>
      <c r="HD110" s="116"/>
      <c r="HE110" s="116"/>
      <c r="HF110" s="116"/>
      <c r="HG110" s="116"/>
      <c r="HH110" s="116"/>
      <c r="HI110" s="116"/>
      <c r="HJ110" s="116"/>
      <c r="HK110" s="116"/>
      <c r="HL110" s="116"/>
      <c r="HM110" s="116"/>
      <c r="HN110" s="116"/>
      <c r="HO110" s="116"/>
      <c r="HP110" s="116"/>
      <c r="HQ110" s="116"/>
      <c r="HR110" s="116"/>
      <c r="HS110" s="116"/>
      <c r="HT110" s="116"/>
      <c r="HU110" s="116"/>
      <c r="HV110" s="116"/>
      <c r="HW110" s="116"/>
      <c r="HX110" s="116"/>
      <c r="HY110" s="116"/>
      <c r="HZ110" s="116"/>
      <c r="IA110" s="116"/>
      <c r="IB110" s="116"/>
      <c r="IC110" s="116"/>
      <c r="ID110" s="116"/>
      <c r="IE110" s="116"/>
      <c r="IF110" s="116"/>
      <c r="IG110" s="116"/>
      <c r="IH110" s="116"/>
      <c r="II110" s="116"/>
      <c r="IJ110" s="116"/>
      <c r="IK110" s="116"/>
      <c r="IL110" s="116"/>
      <c r="IM110" s="116"/>
      <c r="IN110" s="116"/>
      <c r="IO110" s="116"/>
      <c r="IP110" s="116"/>
      <c r="IQ110" s="116"/>
      <c r="IR110" s="116"/>
      <c r="IS110" s="116"/>
      <c r="IT110" s="116"/>
      <c r="IU110" s="116"/>
      <c r="IV110" s="116"/>
      <c r="IW110" s="116"/>
      <c r="IX110" s="116"/>
      <c r="IY110" s="116"/>
      <c r="IZ110" s="116"/>
    </row>
    <row r="111" spans="2:260" x14ac:dyDescent="0.3">
      <c r="B111" s="158" t="s">
        <v>189</v>
      </c>
      <c r="C111" s="235">
        <f>+C29</f>
        <v>0</v>
      </c>
      <c r="D111" s="235">
        <v>0</v>
      </c>
      <c r="E111" s="235">
        <v>0</v>
      </c>
      <c r="F111" s="235">
        <v>0</v>
      </c>
      <c r="G111" s="235">
        <v>0</v>
      </c>
      <c r="H111" s="235">
        <v>0</v>
      </c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6"/>
      <c r="AU111" s="116"/>
      <c r="AV111" s="116"/>
      <c r="AW111" s="116"/>
      <c r="AX111" s="116"/>
      <c r="AY111" s="116"/>
      <c r="AZ111" s="116"/>
      <c r="BA111" s="116"/>
      <c r="BB111" s="116"/>
      <c r="BC111" s="116"/>
      <c r="BD111" s="116"/>
      <c r="BE111" s="116"/>
      <c r="BF111" s="116"/>
      <c r="BG111" s="116"/>
      <c r="BH111" s="116"/>
      <c r="BI111" s="116"/>
      <c r="BJ111" s="116"/>
      <c r="BK111" s="116"/>
      <c r="BL111" s="116"/>
      <c r="BM111" s="116"/>
      <c r="BN111" s="116"/>
      <c r="BO111" s="116"/>
      <c r="BP111" s="116"/>
      <c r="BQ111" s="116"/>
      <c r="BR111" s="116"/>
      <c r="BS111" s="116"/>
      <c r="BT111" s="116"/>
      <c r="BU111" s="116"/>
      <c r="BV111" s="116"/>
      <c r="BW111" s="116"/>
      <c r="BX111" s="116"/>
      <c r="BY111" s="116"/>
      <c r="BZ111" s="116"/>
      <c r="CA111" s="116"/>
      <c r="CB111" s="116"/>
      <c r="CC111" s="116"/>
      <c r="CD111" s="116"/>
      <c r="CE111" s="116"/>
      <c r="CF111" s="116"/>
      <c r="CG111" s="116"/>
      <c r="CH111" s="116"/>
      <c r="CI111" s="116"/>
      <c r="CJ111" s="116"/>
      <c r="CK111" s="116"/>
      <c r="CL111" s="116"/>
      <c r="CM111" s="116"/>
      <c r="CN111" s="116"/>
      <c r="CO111" s="116"/>
      <c r="CP111" s="116"/>
      <c r="CQ111" s="116"/>
      <c r="CR111" s="116"/>
      <c r="CS111" s="116"/>
      <c r="CT111" s="116"/>
      <c r="CU111" s="116"/>
      <c r="CV111" s="116"/>
      <c r="CW111" s="116"/>
      <c r="CX111" s="116"/>
      <c r="CY111" s="116"/>
      <c r="CZ111" s="116"/>
      <c r="DA111" s="116"/>
      <c r="DB111" s="116"/>
      <c r="DC111" s="116"/>
      <c r="DD111" s="116"/>
      <c r="DE111" s="116"/>
      <c r="DF111" s="116"/>
      <c r="DG111" s="116"/>
      <c r="DH111" s="116"/>
      <c r="DI111" s="116"/>
      <c r="DJ111" s="116"/>
      <c r="DK111" s="116"/>
      <c r="DL111" s="116"/>
      <c r="DM111" s="116"/>
      <c r="DN111" s="116"/>
      <c r="DO111" s="116"/>
      <c r="DP111" s="116"/>
      <c r="DQ111" s="116"/>
      <c r="DR111" s="116"/>
      <c r="DS111" s="116"/>
      <c r="DT111" s="116"/>
      <c r="DU111" s="116"/>
      <c r="DV111" s="116"/>
      <c r="DW111" s="116"/>
      <c r="DX111" s="116"/>
      <c r="DY111" s="116"/>
      <c r="DZ111" s="116"/>
      <c r="EA111" s="116"/>
      <c r="EB111" s="116"/>
      <c r="EC111" s="116"/>
      <c r="ED111" s="116"/>
      <c r="EE111" s="116"/>
      <c r="EF111" s="116"/>
      <c r="EG111" s="116"/>
      <c r="EH111" s="116"/>
      <c r="EI111" s="116"/>
      <c r="EJ111" s="116"/>
      <c r="EK111" s="116"/>
      <c r="EL111" s="116"/>
      <c r="EM111" s="116"/>
      <c r="EN111" s="116"/>
      <c r="EO111" s="116"/>
      <c r="EP111" s="116"/>
      <c r="EQ111" s="116"/>
      <c r="ER111" s="116"/>
      <c r="ES111" s="116"/>
      <c r="ET111" s="116"/>
      <c r="EU111" s="116"/>
      <c r="EV111" s="116"/>
      <c r="EW111" s="116"/>
      <c r="EX111" s="116"/>
      <c r="EY111" s="116"/>
      <c r="EZ111" s="116"/>
      <c r="FA111" s="116"/>
      <c r="FB111" s="116"/>
      <c r="FC111" s="116"/>
      <c r="FD111" s="116"/>
      <c r="FE111" s="116"/>
      <c r="FF111" s="116"/>
      <c r="FG111" s="116"/>
      <c r="FH111" s="116"/>
      <c r="FI111" s="116"/>
      <c r="FJ111" s="116"/>
      <c r="FK111" s="116"/>
      <c r="FL111" s="116"/>
      <c r="FM111" s="116"/>
      <c r="FN111" s="116"/>
      <c r="FO111" s="116"/>
      <c r="FP111" s="116"/>
      <c r="FQ111" s="116"/>
      <c r="FR111" s="116"/>
      <c r="FS111" s="116"/>
      <c r="FT111" s="116"/>
      <c r="FU111" s="116"/>
      <c r="FV111" s="116"/>
      <c r="FW111" s="116"/>
      <c r="FX111" s="116"/>
      <c r="FY111" s="116"/>
      <c r="FZ111" s="116"/>
      <c r="GA111" s="116"/>
      <c r="GB111" s="116"/>
      <c r="GC111" s="116"/>
      <c r="GD111" s="116"/>
      <c r="GE111" s="116"/>
      <c r="GF111" s="116"/>
      <c r="GG111" s="116"/>
      <c r="GH111" s="116"/>
      <c r="GI111" s="116"/>
      <c r="GJ111" s="116"/>
      <c r="GK111" s="116"/>
      <c r="GL111" s="116"/>
      <c r="GM111" s="116"/>
      <c r="GN111" s="116"/>
      <c r="GO111" s="116"/>
      <c r="GP111" s="116"/>
      <c r="GQ111" s="116"/>
      <c r="GR111" s="116"/>
      <c r="GS111" s="116"/>
      <c r="GT111" s="116"/>
      <c r="GU111" s="116"/>
      <c r="GV111" s="116"/>
      <c r="GW111" s="116"/>
      <c r="GX111" s="116"/>
      <c r="GY111" s="116"/>
      <c r="GZ111" s="116"/>
      <c r="HA111" s="116"/>
      <c r="HB111" s="116"/>
      <c r="HC111" s="116"/>
      <c r="HD111" s="116"/>
      <c r="HE111" s="116"/>
      <c r="HF111" s="116"/>
      <c r="HG111" s="116"/>
      <c r="HH111" s="116"/>
      <c r="HI111" s="116"/>
      <c r="HJ111" s="116"/>
      <c r="HK111" s="116"/>
      <c r="HL111" s="116"/>
      <c r="HM111" s="116"/>
      <c r="HN111" s="116"/>
      <c r="HO111" s="116"/>
      <c r="HP111" s="116"/>
      <c r="HQ111" s="116"/>
      <c r="HR111" s="116"/>
      <c r="HS111" s="116"/>
      <c r="HT111" s="116"/>
      <c r="HU111" s="116"/>
      <c r="HV111" s="116"/>
      <c r="HW111" s="116"/>
      <c r="HX111" s="116"/>
      <c r="HY111" s="116"/>
      <c r="HZ111" s="116"/>
      <c r="IA111" s="116"/>
      <c r="IB111" s="116"/>
      <c r="IC111" s="116"/>
      <c r="ID111" s="116"/>
      <c r="IE111" s="116"/>
      <c r="IF111" s="116"/>
      <c r="IG111" s="116"/>
      <c r="IH111" s="116"/>
      <c r="II111" s="116"/>
      <c r="IJ111" s="116"/>
      <c r="IK111" s="116"/>
      <c r="IL111" s="116"/>
      <c r="IM111" s="116"/>
      <c r="IN111" s="116"/>
      <c r="IO111" s="116"/>
      <c r="IP111" s="116"/>
      <c r="IQ111" s="116"/>
      <c r="IR111" s="116"/>
      <c r="IS111" s="116"/>
      <c r="IT111" s="116"/>
      <c r="IU111" s="116"/>
      <c r="IV111" s="116"/>
      <c r="IW111" s="116"/>
      <c r="IX111" s="116"/>
      <c r="IY111" s="116"/>
      <c r="IZ111" s="116"/>
    </row>
    <row r="112" spans="2:260" x14ac:dyDescent="0.3">
      <c r="B112" s="158" t="s">
        <v>190</v>
      </c>
      <c r="C112" s="235">
        <f>+C30</f>
        <v>0</v>
      </c>
      <c r="D112" s="235">
        <f>+D30</f>
        <v>9426013316.5295601</v>
      </c>
      <c r="E112" s="235">
        <f t="shared" ref="E112:H112" si="23">+E30</f>
        <v>968283302.43560219</v>
      </c>
      <c r="F112" s="235">
        <f t="shared" si="23"/>
        <v>1219966080.0382061</v>
      </c>
      <c r="G112" s="235">
        <f t="shared" si="23"/>
        <v>1208294085.2667618</v>
      </c>
      <c r="H112" s="235">
        <f t="shared" si="23"/>
        <v>1333269502.1509628</v>
      </c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116"/>
      <c r="BN112" s="116"/>
      <c r="BO112" s="116"/>
      <c r="BP112" s="116"/>
      <c r="BQ112" s="116"/>
      <c r="BR112" s="116"/>
      <c r="BS112" s="116"/>
      <c r="BT112" s="116"/>
      <c r="BU112" s="116"/>
      <c r="BV112" s="116"/>
      <c r="BW112" s="116"/>
      <c r="BX112" s="116"/>
      <c r="BY112" s="116"/>
      <c r="BZ112" s="116"/>
      <c r="CA112" s="116"/>
      <c r="CB112" s="116"/>
      <c r="CC112" s="116"/>
      <c r="CD112" s="116"/>
      <c r="CE112" s="116"/>
      <c r="CF112" s="116"/>
      <c r="CG112" s="116"/>
      <c r="CH112" s="116"/>
      <c r="CI112" s="116"/>
      <c r="CJ112" s="116"/>
      <c r="CK112" s="116"/>
      <c r="CL112" s="116"/>
      <c r="CM112" s="116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116"/>
      <c r="CY112" s="116"/>
      <c r="CZ112" s="116"/>
      <c r="DA112" s="116"/>
      <c r="DB112" s="116"/>
      <c r="DC112" s="116"/>
      <c r="DD112" s="116"/>
      <c r="DE112" s="116"/>
      <c r="DF112" s="116"/>
      <c r="DG112" s="116"/>
      <c r="DH112" s="116"/>
      <c r="DI112" s="116"/>
      <c r="DJ112" s="116"/>
      <c r="DK112" s="116"/>
      <c r="DL112" s="116"/>
      <c r="DM112" s="116"/>
      <c r="DN112" s="116"/>
      <c r="DO112" s="116"/>
      <c r="DP112" s="116"/>
      <c r="DQ112" s="116"/>
      <c r="DR112" s="116"/>
      <c r="DS112" s="116"/>
      <c r="DT112" s="116"/>
      <c r="DU112" s="116"/>
      <c r="DV112" s="116"/>
      <c r="DW112" s="116"/>
      <c r="DX112" s="116"/>
      <c r="DY112" s="116"/>
      <c r="DZ112" s="116"/>
      <c r="EA112" s="116"/>
      <c r="EB112" s="116"/>
      <c r="EC112" s="116"/>
      <c r="ED112" s="116"/>
      <c r="EE112" s="116"/>
      <c r="EF112" s="116"/>
      <c r="EG112" s="116"/>
      <c r="EH112" s="116"/>
      <c r="EI112" s="116"/>
      <c r="EJ112" s="116"/>
      <c r="EK112" s="116"/>
      <c r="EL112" s="116"/>
      <c r="EM112" s="116"/>
      <c r="EN112" s="116"/>
      <c r="EO112" s="116"/>
      <c r="EP112" s="116"/>
      <c r="EQ112" s="116"/>
      <c r="ER112" s="116"/>
      <c r="ES112" s="116"/>
      <c r="ET112" s="116"/>
      <c r="EU112" s="116"/>
      <c r="EV112" s="116"/>
      <c r="EW112" s="116"/>
      <c r="EX112" s="116"/>
      <c r="EY112" s="116"/>
      <c r="EZ112" s="116"/>
      <c r="FA112" s="116"/>
      <c r="FB112" s="116"/>
      <c r="FC112" s="116"/>
      <c r="FD112" s="116"/>
      <c r="FE112" s="116"/>
      <c r="FF112" s="116"/>
      <c r="FG112" s="116"/>
      <c r="FH112" s="116"/>
      <c r="FI112" s="116"/>
      <c r="FJ112" s="116"/>
      <c r="FK112" s="116"/>
      <c r="FL112" s="116"/>
      <c r="FM112" s="116"/>
      <c r="FN112" s="116"/>
      <c r="FO112" s="116"/>
      <c r="FP112" s="116"/>
      <c r="FQ112" s="116"/>
      <c r="FR112" s="116"/>
      <c r="FS112" s="116"/>
      <c r="FT112" s="116"/>
      <c r="FU112" s="116"/>
      <c r="FV112" s="116"/>
      <c r="FW112" s="116"/>
      <c r="FX112" s="116"/>
      <c r="FY112" s="116"/>
      <c r="FZ112" s="116"/>
      <c r="GA112" s="116"/>
      <c r="GB112" s="116"/>
      <c r="GC112" s="116"/>
      <c r="GD112" s="116"/>
      <c r="GE112" s="116"/>
      <c r="GF112" s="116"/>
      <c r="GG112" s="116"/>
      <c r="GH112" s="116"/>
      <c r="GI112" s="116"/>
      <c r="GJ112" s="116"/>
      <c r="GK112" s="116"/>
      <c r="GL112" s="116"/>
      <c r="GM112" s="116"/>
      <c r="GN112" s="116"/>
      <c r="GO112" s="116"/>
      <c r="GP112" s="116"/>
      <c r="GQ112" s="116"/>
      <c r="GR112" s="116"/>
      <c r="GS112" s="116"/>
      <c r="GT112" s="116"/>
      <c r="GU112" s="116"/>
      <c r="GV112" s="116"/>
      <c r="GW112" s="116"/>
      <c r="GX112" s="116"/>
      <c r="GY112" s="116"/>
      <c r="GZ112" s="116"/>
      <c r="HA112" s="116"/>
      <c r="HB112" s="116"/>
      <c r="HC112" s="116"/>
      <c r="HD112" s="116"/>
      <c r="HE112" s="116"/>
      <c r="HF112" s="116"/>
      <c r="HG112" s="116"/>
      <c r="HH112" s="116"/>
      <c r="HI112" s="116"/>
      <c r="HJ112" s="116"/>
      <c r="HK112" s="116"/>
      <c r="HL112" s="116"/>
      <c r="HM112" s="116"/>
      <c r="HN112" s="116"/>
      <c r="HO112" s="116"/>
      <c r="HP112" s="116"/>
      <c r="HQ112" s="116"/>
      <c r="HR112" s="116"/>
      <c r="HS112" s="116"/>
      <c r="HT112" s="116"/>
      <c r="HU112" s="116"/>
      <c r="HV112" s="116"/>
      <c r="HW112" s="116"/>
      <c r="HX112" s="116"/>
      <c r="HY112" s="116"/>
      <c r="HZ112" s="116"/>
      <c r="IA112" s="116"/>
      <c r="IB112" s="116"/>
      <c r="IC112" s="116"/>
      <c r="ID112" s="116"/>
      <c r="IE112" s="116"/>
      <c r="IF112" s="116"/>
      <c r="IG112" s="116"/>
      <c r="IH112" s="116"/>
      <c r="II112" s="116"/>
      <c r="IJ112" s="116"/>
      <c r="IK112" s="116"/>
      <c r="IL112" s="116"/>
      <c r="IM112" s="116"/>
      <c r="IN112" s="116"/>
      <c r="IO112" s="116"/>
      <c r="IP112" s="116"/>
      <c r="IQ112" s="116"/>
      <c r="IR112" s="116"/>
      <c r="IS112" s="116"/>
      <c r="IT112" s="116"/>
      <c r="IU112" s="116"/>
      <c r="IV112" s="116"/>
      <c r="IW112" s="116"/>
      <c r="IX112" s="116"/>
      <c r="IY112" s="116"/>
      <c r="IZ112" s="116"/>
    </row>
    <row r="113" spans="2:260" x14ac:dyDescent="0.3">
      <c r="B113" s="140" t="s">
        <v>191</v>
      </c>
      <c r="C113" s="229"/>
      <c r="D113" s="231"/>
      <c r="E113" s="231"/>
      <c r="F113" s="231"/>
      <c r="G113" s="231"/>
      <c r="H113" s="231">
        <f>+SUM(C112:H112)</f>
        <v>14155826286.421093</v>
      </c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116"/>
      <c r="BA113" s="116"/>
      <c r="BB113" s="116"/>
      <c r="BC113" s="116"/>
      <c r="BD113" s="116"/>
      <c r="BE113" s="116"/>
      <c r="BF113" s="116"/>
      <c r="BG113" s="116"/>
      <c r="BH113" s="116"/>
      <c r="BI113" s="116"/>
      <c r="BJ113" s="116"/>
      <c r="BK113" s="116"/>
      <c r="BL113" s="116"/>
      <c r="BM113" s="116"/>
      <c r="BN113" s="116"/>
      <c r="BO113" s="116"/>
      <c r="BP113" s="116"/>
      <c r="BQ113" s="116"/>
      <c r="BR113" s="116"/>
      <c r="BS113" s="116"/>
      <c r="BT113" s="116"/>
      <c r="BU113" s="116"/>
      <c r="BV113" s="116"/>
      <c r="BW113" s="116"/>
      <c r="BX113" s="116"/>
      <c r="BY113" s="116"/>
      <c r="BZ113" s="116"/>
      <c r="CA113" s="116"/>
      <c r="CB113" s="116"/>
      <c r="CC113" s="116"/>
      <c r="CD113" s="116"/>
      <c r="CE113" s="116"/>
      <c r="CF113" s="116"/>
      <c r="CG113" s="116"/>
      <c r="CH113" s="116"/>
      <c r="CI113" s="116"/>
      <c r="CJ113" s="116"/>
      <c r="CK113" s="116"/>
      <c r="CL113" s="116"/>
      <c r="CM113" s="116"/>
      <c r="CN113" s="116"/>
      <c r="CO113" s="116"/>
      <c r="CP113" s="116"/>
      <c r="CQ113" s="116"/>
      <c r="CR113" s="116"/>
      <c r="CS113" s="116"/>
      <c r="CT113" s="116"/>
      <c r="CU113" s="116"/>
      <c r="CV113" s="116"/>
      <c r="CW113" s="116"/>
      <c r="CX113" s="116"/>
      <c r="CY113" s="116"/>
      <c r="CZ113" s="116"/>
      <c r="DA113" s="116"/>
      <c r="DB113" s="116"/>
      <c r="DC113" s="116"/>
      <c r="DD113" s="116"/>
      <c r="DE113" s="116"/>
      <c r="DF113" s="116"/>
      <c r="DG113" s="116"/>
      <c r="DH113" s="116"/>
      <c r="DI113" s="116"/>
      <c r="DJ113" s="116"/>
      <c r="DK113" s="116"/>
      <c r="DL113" s="116"/>
      <c r="DM113" s="116"/>
      <c r="DN113" s="116"/>
      <c r="DO113" s="116"/>
      <c r="DP113" s="116"/>
      <c r="DQ113" s="116"/>
      <c r="DR113" s="116"/>
      <c r="DS113" s="116"/>
      <c r="DT113" s="116"/>
      <c r="DU113" s="116"/>
      <c r="DV113" s="116"/>
      <c r="DW113" s="116"/>
      <c r="DX113" s="116"/>
      <c r="DY113" s="116"/>
      <c r="DZ113" s="116"/>
      <c r="EA113" s="116"/>
      <c r="EB113" s="116"/>
      <c r="EC113" s="116"/>
      <c r="ED113" s="116"/>
      <c r="EE113" s="116"/>
      <c r="EF113" s="116"/>
      <c r="EG113" s="116"/>
      <c r="EH113" s="116"/>
      <c r="EI113" s="116"/>
      <c r="EJ113" s="116"/>
      <c r="EK113" s="116"/>
      <c r="EL113" s="116"/>
      <c r="EM113" s="116"/>
      <c r="EN113" s="116"/>
      <c r="EO113" s="116"/>
      <c r="EP113" s="116"/>
      <c r="EQ113" s="116"/>
      <c r="ER113" s="116"/>
      <c r="ES113" s="116"/>
      <c r="ET113" s="116"/>
      <c r="EU113" s="116"/>
      <c r="EV113" s="116"/>
      <c r="EW113" s="116"/>
      <c r="EX113" s="116"/>
      <c r="EY113" s="116"/>
      <c r="EZ113" s="116"/>
      <c r="FA113" s="116"/>
      <c r="FB113" s="116"/>
      <c r="FC113" s="116"/>
      <c r="FD113" s="116"/>
      <c r="FE113" s="116"/>
      <c r="FF113" s="116"/>
      <c r="FG113" s="116"/>
      <c r="FH113" s="116"/>
      <c r="FI113" s="116"/>
      <c r="FJ113" s="116"/>
      <c r="FK113" s="116"/>
      <c r="FL113" s="116"/>
      <c r="FM113" s="116"/>
      <c r="FN113" s="116"/>
      <c r="FO113" s="116"/>
      <c r="FP113" s="116"/>
      <c r="FQ113" s="116"/>
      <c r="FR113" s="116"/>
      <c r="FS113" s="116"/>
      <c r="FT113" s="116"/>
      <c r="FU113" s="116"/>
      <c r="FV113" s="116"/>
      <c r="FW113" s="116"/>
      <c r="FX113" s="116"/>
      <c r="FY113" s="116"/>
      <c r="FZ113" s="116"/>
      <c r="GA113" s="116"/>
      <c r="GB113" s="116"/>
      <c r="GC113" s="116"/>
      <c r="GD113" s="116"/>
      <c r="GE113" s="116"/>
      <c r="GF113" s="116"/>
      <c r="GG113" s="116"/>
      <c r="GH113" s="116"/>
      <c r="GI113" s="116"/>
      <c r="GJ113" s="116"/>
      <c r="GK113" s="116"/>
      <c r="GL113" s="116"/>
      <c r="GM113" s="116"/>
      <c r="GN113" s="116"/>
      <c r="GO113" s="116"/>
      <c r="GP113" s="116"/>
      <c r="GQ113" s="116"/>
      <c r="GR113" s="116"/>
      <c r="GS113" s="116"/>
      <c r="GT113" s="116"/>
      <c r="GU113" s="116"/>
      <c r="GV113" s="116"/>
      <c r="GW113" s="116"/>
      <c r="GX113" s="116"/>
      <c r="GY113" s="116"/>
      <c r="GZ113" s="116"/>
      <c r="HA113" s="116"/>
      <c r="HB113" s="116"/>
      <c r="HC113" s="116"/>
      <c r="HD113" s="116"/>
      <c r="HE113" s="116"/>
      <c r="HF113" s="116"/>
      <c r="HG113" s="116"/>
      <c r="HH113" s="116"/>
      <c r="HI113" s="116"/>
      <c r="HJ113" s="116"/>
      <c r="HK113" s="116"/>
      <c r="HL113" s="116"/>
      <c r="HM113" s="116"/>
      <c r="HN113" s="116"/>
      <c r="HO113" s="116"/>
      <c r="HP113" s="116"/>
      <c r="HQ113" s="116"/>
      <c r="HR113" s="116"/>
      <c r="HS113" s="116"/>
      <c r="HT113" s="116"/>
      <c r="HU113" s="116"/>
      <c r="HV113" s="116"/>
      <c r="HW113" s="116"/>
      <c r="HX113" s="116"/>
      <c r="HY113" s="116"/>
      <c r="HZ113" s="116"/>
      <c r="IA113" s="116"/>
      <c r="IB113" s="116"/>
      <c r="IC113" s="116"/>
      <c r="ID113" s="116"/>
      <c r="IE113" s="116"/>
      <c r="IF113" s="116"/>
      <c r="IG113" s="116"/>
      <c r="IH113" s="116"/>
      <c r="II113" s="116"/>
      <c r="IJ113" s="116"/>
      <c r="IK113" s="116"/>
      <c r="IL113" s="116"/>
      <c r="IM113" s="116"/>
      <c r="IN113" s="116"/>
      <c r="IO113" s="116"/>
      <c r="IP113" s="116"/>
      <c r="IQ113" s="116"/>
      <c r="IR113" s="116"/>
      <c r="IS113" s="116"/>
      <c r="IT113" s="116"/>
      <c r="IU113" s="116"/>
      <c r="IV113" s="116"/>
      <c r="IW113" s="116"/>
      <c r="IX113" s="116"/>
      <c r="IY113" s="116"/>
      <c r="IZ113" s="116"/>
    </row>
    <row r="114" spans="2:260" x14ac:dyDescent="0.3">
      <c r="B114" s="140" t="s">
        <v>192</v>
      </c>
      <c r="C114" s="229"/>
      <c r="D114" s="229"/>
      <c r="E114" s="229"/>
      <c r="F114" s="229"/>
      <c r="G114" s="229"/>
      <c r="H114" s="229">
        <f>+C58</f>
        <v>5625000</v>
      </c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6"/>
      <c r="BL114" s="116"/>
      <c r="BM114" s="116"/>
      <c r="BN114" s="116"/>
      <c r="BO114" s="116"/>
      <c r="BP114" s="116"/>
      <c r="BQ114" s="116"/>
      <c r="BR114" s="116"/>
      <c r="BS114" s="116"/>
      <c r="BT114" s="116"/>
      <c r="BU114" s="116"/>
      <c r="BV114" s="116"/>
      <c r="BW114" s="116"/>
      <c r="BX114" s="116"/>
      <c r="BY114" s="116"/>
      <c r="BZ114" s="116"/>
      <c r="CA114" s="116"/>
      <c r="CB114" s="116"/>
      <c r="CC114" s="116"/>
      <c r="CD114" s="116"/>
      <c r="CE114" s="116"/>
      <c r="CF114" s="116"/>
      <c r="CG114" s="116"/>
      <c r="CH114" s="116"/>
      <c r="CI114" s="116"/>
      <c r="CJ114" s="116"/>
      <c r="CK114" s="116"/>
      <c r="CL114" s="116"/>
      <c r="CM114" s="116"/>
      <c r="CN114" s="116"/>
      <c r="CO114" s="116"/>
      <c r="CP114" s="116"/>
      <c r="CQ114" s="116"/>
      <c r="CR114" s="116"/>
      <c r="CS114" s="116"/>
      <c r="CT114" s="116"/>
      <c r="CU114" s="116"/>
      <c r="CV114" s="116"/>
      <c r="CW114" s="116"/>
      <c r="CX114" s="116"/>
      <c r="CY114" s="116"/>
      <c r="CZ114" s="116"/>
      <c r="DA114" s="116"/>
      <c r="DB114" s="116"/>
      <c r="DC114" s="116"/>
      <c r="DD114" s="116"/>
      <c r="DE114" s="116"/>
      <c r="DF114" s="116"/>
      <c r="DG114" s="116"/>
      <c r="DH114" s="116"/>
      <c r="DI114" s="116"/>
      <c r="DJ114" s="116"/>
      <c r="DK114" s="116"/>
      <c r="DL114" s="116"/>
      <c r="DM114" s="116"/>
      <c r="DN114" s="116"/>
      <c r="DO114" s="116"/>
      <c r="DP114" s="116"/>
      <c r="DQ114" s="116"/>
      <c r="DR114" s="116"/>
      <c r="DS114" s="116"/>
      <c r="DT114" s="116"/>
      <c r="DU114" s="116"/>
      <c r="DV114" s="116"/>
      <c r="DW114" s="116"/>
      <c r="DX114" s="116"/>
      <c r="DY114" s="116"/>
      <c r="DZ114" s="116"/>
      <c r="EA114" s="116"/>
      <c r="EB114" s="116"/>
      <c r="EC114" s="116"/>
      <c r="ED114" s="116"/>
      <c r="EE114" s="116"/>
      <c r="EF114" s="116"/>
      <c r="EG114" s="116"/>
      <c r="EH114" s="116"/>
      <c r="EI114" s="116"/>
      <c r="EJ114" s="116"/>
      <c r="EK114" s="116"/>
      <c r="EL114" s="116"/>
      <c r="EM114" s="116"/>
      <c r="EN114" s="116"/>
      <c r="EO114" s="116"/>
      <c r="EP114" s="116"/>
      <c r="EQ114" s="116"/>
      <c r="ER114" s="116"/>
      <c r="ES114" s="116"/>
      <c r="ET114" s="116"/>
      <c r="EU114" s="116"/>
      <c r="EV114" s="116"/>
      <c r="EW114" s="116"/>
      <c r="EX114" s="116"/>
      <c r="EY114" s="116"/>
      <c r="EZ114" s="116"/>
      <c r="FA114" s="116"/>
      <c r="FB114" s="116"/>
      <c r="FC114" s="116"/>
      <c r="FD114" s="116"/>
      <c r="FE114" s="116"/>
      <c r="FF114" s="116"/>
      <c r="FG114" s="116"/>
      <c r="FH114" s="116"/>
      <c r="FI114" s="116"/>
      <c r="FJ114" s="116"/>
      <c r="FK114" s="116"/>
      <c r="FL114" s="116"/>
      <c r="FM114" s="116"/>
      <c r="FN114" s="116"/>
      <c r="FO114" s="116"/>
      <c r="FP114" s="116"/>
      <c r="FQ114" s="116"/>
      <c r="FR114" s="116"/>
      <c r="FS114" s="116"/>
      <c r="FT114" s="116"/>
      <c r="FU114" s="116"/>
      <c r="FV114" s="116"/>
      <c r="FW114" s="116"/>
      <c r="FX114" s="116"/>
      <c r="FY114" s="116"/>
      <c r="FZ114" s="116"/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116"/>
      <c r="GL114" s="116"/>
      <c r="GM114" s="116"/>
      <c r="GN114" s="116"/>
      <c r="GO114" s="116"/>
      <c r="GP114" s="116"/>
      <c r="GQ114" s="116"/>
      <c r="GR114" s="116"/>
      <c r="GS114" s="116"/>
      <c r="GT114" s="116"/>
      <c r="GU114" s="116"/>
      <c r="GV114" s="116"/>
      <c r="GW114" s="116"/>
      <c r="GX114" s="116"/>
      <c r="GY114" s="116"/>
      <c r="GZ114" s="116"/>
      <c r="HA114" s="116"/>
      <c r="HB114" s="116"/>
      <c r="HC114" s="116"/>
      <c r="HD114" s="116"/>
      <c r="HE114" s="116"/>
      <c r="HF114" s="116"/>
      <c r="HG114" s="116"/>
      <c r="HH114" s="116"/>
      <c r="HI114" s="116"/>
      <c r="HJ114" s="116"/>
      <c r="HK114" s="116"/>
      <c r="HL114" s="116"/>
      <c r="HM114" s="116"/>
      <c r="HN114" s="116"/>
      <c r="HO114" s="116"/>
      <c r="HP114" s="116"/>
      <c r="HQ114" s="116"/>
      <c r="HR114" s="116"/>
      <c r="HS114" s="116"/>
      <c r="HT114" s="116"/>
      <c r="HU114" s="116"/>
      <c r="HV114" s="116"/>
      <c r="HW114" s="116"/>
      <c r="HX114" s="116"/>
      <c r="HY114" s="116"/>
      <c r="HZ114" s="116"/>
      <c r="IA114" s="116"/>
      <c r="IB114" s="116"/>
      <c r="IC114" s="116"/>
      <c r="ID114" s="116"/>
      <c r="IE114" s="116"/>
      <c r="IF114" s="116"/>
      <c r="IG114" s="116"/>
      <c r="IH114" s="116"/>
      <c r="II114" s="116"/>
      <c r="IJ114" s="116"/>
      <c r="IK114" s="116"/>
      <c r="IL114" s="116"/>
      <c r="IM114" s="116"/>
      <c r="IN114" s="116"/>
      <c r="IO114" s="116"/>
      <c r="IP114" s="116"/>
      <c r="IQ114" s="116"/>
      <c r="IR114" s="116"/>
      <c r="IS114" s="116"/>
      <c r="IT114" s="116"/>
      <c r="IU114" s="116"/>
      <c r="IV114" s="116"/>
      <c r="IW114" s="116"/>
      <c r="IX114" s="116"/>
      <c r="IY114" s="116"/>
      <c r="IZ114" s="116"/>
    </row>
    <row r="115" spans="2:260" x14ac:dyDescent="0.3">
      <c r="B115" s="160" t="s">
        <v>214</v>
      </c>
      <c r="C115" s="232">
        <f>+C105-C106+C107+C108-C109-C110-C111-C112+C113+C114</f>
        <v>-70705000</v>
      </c>
      <c r="D115" s="232">
        <f>+D105-D106+D107+D108-D109-D110-D111-D112+D113+D114</f>
        <v>-16834691062.274891</v>
      </c>
      <c r="E115" s="232">
        <f t="shared" ref="E115:G115" si="24">+E105-E106+E107+E108-E109-E110-E111-E112+E113+E114</f>
        <v>-9183766742.8301735</v>
      </c>
      <c r="F115" s="232">
        <f t="shared" si="24"/>
        <v>16190960794.640669</v>
      </c>
      <c r="G115" s="232">
        <f t="shared" si="24"/>
        <v>18385481007.560658</v>
      </c>
      <c r="H115" s="232">
        <f>+H105-H106+H107+H108-H109-H110-H111-H112+H113+H114</f>
        <v>34853067800.188484</v>
      </c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159"/>
      <c r="BG115" s="159"/>
      <c r="BH115" s="159"/>
      <c r="BI115" s="159"/>
      <c r="BJ115" s="159"/>
      <c r="BK115" s="159"/>
      <c r="BL115" s="159"/>
      <c r="BM115" s="159"/>
      <c r="BN115" s="159"/>
      <c r="BO115" s="159"/>
      <c r="BP115" s="159"/>
      <c r="BQ115" s="159"/>
      <c r="BR115" s="159"/>
      <c r="BS115" s="159"/>
      <c r="BT115" s="159"/>
      <c r="BU115" s="159"/>
      <c r="BV115" s="159"/>
      <c r="BW115" s="159"/>
      <c r="BX115" s="159"/>
      <c r="BY115" s="159"/>
      <c r="BZ115" s="159"/>
      <c r="CA115" s="159"/>
      <c r="CB115" s="159"/>
      <c r="CC115" s="159"/>
      <c r="CD115" s="159"/>
      <c r="CE115" s="159"/>
      <c r="CF115" s="159"/>
      <c r="CG115" s="159"/>
      <c r="CH115" s="159"/>
      <c r="CI115" s="159"/>
      <c r="CJ115" s="159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59"/>
      <c r="CW115" s="159"/>
      <c r="CX115" s="159"/>
      <c r="CY115" s="159"/>
      <c r="CZ115" s="159"/>
      <c r="DA115" s="159"/>
      <c r="DB115" s="159"/>
      <c r="DC115" s="159"/>
      <c r="DD115" s="159"/>
      <c r="DE115" s="159"/>
      <c r="DF115" s="159"/>
      <c r="DG115" s="159"/>
      <c r="DH115" s="159"/>
      <c r="DI115" s="159"/>
      <c r="DJ115" s="159"/>
      <c r="DK115" s="159"/>
      <c r="DL115" s="159"/>
      <c r="DM115" s="159"/>
      <c r="DN115" s="159"/>
      <c r="DO115" s="159"/>
      <c r="DP115" s="159"/>
      <c r="DQ115" s="159"/>
      <c r="DR115" s="159"/>
      <c r="DS115" s="159"/>
      <c r="DT115" s="159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59"/>
      <c r="EG115" s="159"/>
      <c r="EH115" s="159"/>
      <c r="EI115" s="159"/>
      <c r="EJ115" s="159"/>
      <c r="EK115" s="159"/>
      <c r="EL115" s="159"/>
      <c r="EM115" s="159"/>
      <c r="EN115" s="159"/>
      <c r="EO115" s="159"/>
      <c r="EP115" s="159"/>
      <c r="EQ115" s="159"/>
      <c r="ER115" s="159"/>
      <c r="ES115" s="159"/>
      <c r="ET115" s="159"/>
      <c r="EU115" s="159"/>
      <c r="EV115" s="159"/>
      <c r="EW115" s="159"/>
      <c r="EX115" s="159"/>
      <c r="EY115" s="159"/>
      <c r="EZ115" s="159"/>
      <c r="FA115" s="159"/>
      <c r="FB115" s="159"/>
      <c r="FC115" s="159"/>
      <c r="FD115" s="159"/>
      <c r="FE115" s="159"/>
      <c r="FF115" s="159"/>
      <c r="FG115" s="159"/>
      <c r="FH115" s="159"/>
      <c r="FI115" s="159"/>
      <c r="FJ115" s="159"/>
      <c r="FK115" s="159"/>
      <c r="FL115" s="159"/>
      <c r="FM115" s="159"/>
      <c r="FN115" s="159"/>
      <c r="FO115" s="159"/>
      <c r="FP115" s="159"/>
      <c r="FQ115" s="159"/>
      <c r="FR115" s="159"/>
      <c r="FS115" s="159"/>
      <c r="FT115" s="159"/>
      <c r="FU115" s="159"/>
      <c r="FV115" s="159"/>
      <c r="FW115" s="159"/>
      <c r="FX115" s="159"/>
      <c r="FY115" s="159"/>
      <c r="FZ115" s="159"/>
      <c r="GA115" s="159"/>
      <c r="GB115" s="159"/>
      <c r="GC115" s="159"/>
      <c r="GD115" s="159"/>
      <c r="GE115" s="159"/>
      <c r="GF115" s="159"/>
      <c r="GG115" s="159"/>
      <c r="GH115" s="159"/>
      <c r="GI115" s="159"/>
      <c r="GJ115" s="159"/>
      <c r="GK115" s="159"/>
      <c r="GL115" s="159"/>
      <c r="GM115" s="159"/>
      <c r="GN115" s="159"/>
      <c r="GO115" s="159"/>
      <c r="GP115" s="159"/>
      <c r="GQ115" s="159"/>
      <c r="GR115" s="159"/>
      <c r="GS115" s="159"/>
      <c r="GT115" s="159"/>
      <c r="GU115" s="159"/>
      <c r="GV115" s="159"/>
      <c r="GW115" s="159"/>
      <c r="GX115" s="159"/>
      <c r="GY115" s="159"/>
      <c r="GZ115" s="159"/>
      <c r="HA115" s="159"/>
      <c r="HB115" s="159"/>
      <c r="HC115" s="159"/>
      <c r="HD115" s="159"/>
      <c r="HE115" s="159"/>
      <c r="HF115" s="159"/>
      <c r="HG115" s="159"/>
      <c r="HH115" s="159"/>
      <c r="HI115" s="159"/>
      <c r="HJ115" s="159"/>
      <c r="HK115" s="159"/>
      <c r="HL115" s="159"/>
      <c r="HM115" s="159"/>
      <c r="HN115" s="159"/>
      <c r="HO115" s="159"/>
      <c r="HP115" s="159"/>
      <c r="HQ115" s="159"/>
      <c r="HR115" s="159"/>
      <c r="HS115" s="159"/>
      <c r="HT115" s="159"/>
      <c r="HU115" s="159"/>
      <c r="HV115" s="159"/>
      <c r="HW115" s="159"/>
      <c r="HX115" s="159"/>
      <c r="HY115" s="159"/>
      <c r="HZ115" s="159"/>
      <c r="IA115" s="159"/>
      <c r="IB115" s="159"/>
      <c r="IC115" s="159"/>
      <c r="ID115" s="159"/>
      <c r="IE115" s="159"/>
      <c r="IF115" s="159"/>
      <c r="IG115" s="159"/>
      <c r="IH115" s="159"/>
      <c r="II115" s="159"/>
      <c r="IJ115" s="159"/>
      <c r="IK115" s="159"/>
      <c r="IL115" s="159"/>
      <c r="IM115" s="159"/>
      <c r="IN115" s="159"/>
      <c r="IO115" s="159"/>
      <c r="IP115" s="159"/>
      <c r="IQ115" s="159"/>
      <c r="IR115" s="159"/>
      <c r="IS115" s="159"/>
      <c r="IT115" s="159"/>
      <c r="IU115" s="159"/>
      <c r="IV115" s="159"/>
      <c r="IW115" s="159"/>
      <c r="IX115" s="159"/>
      <c r="IY115" s="159"/>
      <c r="IZ115" s="159"/>
    </row>
    <row r="116" spans="2:260" x14ac:dyDescent="0.3">
      <c r="B116" s="141" t="s">
        <v>215</v>
      </c>
      <c r="C116" s="229"/>
      <c r="D116" s="272">
        <f>+D115/(1+$C$79)^D97</f>
        <v>-14638861793.282515</v>
      </c>
      <c r="E116" s="272">
        <f t="shared" ref="E116:H116" si="25">+E115/(1+$C$79)^E97</f>
        <v>-6944247064.5218716</v>
      </c>
      <c r="F116" s="272">
        <f t="shared" si="25"/>
        <v>10645819541.146166</v>
      </c>
      <c r="G116" s="272">
        <f t="shared" si="25"/>
        <v>10511958437.861879</v>
      </c>
      <c r="H116" s="272">
        <f t="shared" si="25"/>
        <v>17328134464.02766</v>
      </c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16"/>
      <c r="GL116" s="116"/>
      <c r="GM116" s="116"/>
      <c r="GN116" s="116"/>
      <c r="GO116" s="116"/>
      <c r="GP116" s="116"/>
      <c r="GQ116" s="116"/>
      <c r="GR116" s="116"/>
      <c r="GS116" s="116"/>
      <c r="GT116" s="116"/>
      <c r="GU116" s="116"/>
      <c r="GV116" s="116"/>
      <c r="GW116" s="116"/>
      <c r="GX116" s="116"/>
      <c r="GY116" s="116"/>
      <c r="GZ116" s="116"/>
      <c r="HA116" s="116"/>
      <c r="HB116" s="116"/>
      <c r="HC116" s="116"/>
      <c r="HD116" s="116"/>
      <c r="HE116" s="116"/>
      <c r="HF116" s="116"/>
      <c r="HG116" s="116"/>
      <c r="HH116" s="116"/>
      <c r="HI116" s="116"/>
      <c r="HJ116" s="116"/>
      <c r="HK116" s="116"/>
      <c r="HL116" s="116"/>
      <c r="HM116" s="116"/>
      <c r="HN116" s="116"/>
      <c r="HO116" s="116"/>
      <c r="HP116" s="116"/>
      <c r="HQ116" s="116"/>
      <c r="HR116" s="116"/>
      <c r="HS116" s="116"/>
      <c r="HT116" s="116"/>
      <c r="HU116" s="116"/>
      <c r="HV116" s="116"/>
      <c r="HW116" s="116"/>
      <c r="HX116" s="116"/>
      <c r="HY116" s="116"/>
      <c r="HZ116" s="116"/>
      <c r="IA116" s="116"/>
      <c r="IB116" s="116"/>
      <c r="IC116" s="116"/>
      <c r="ID116" s="116"/>
      <c r="IE116" s="116"/>
      <c r="IF116" s="116"/>
      <c r="IG116" s="116"/>
      <c r="IH116" s="116"/>
      <c r="II116" s="116"/>
      <c r="IJ116" s="116"/>
      <c r="IK116" s="116"/>
      <c r="IL116" s="116"/>
      <c r="IM116" s="116"/>
      <c r="IN116" s="116"/>
      <c r="IO116" s="116"/>
      <c r="IP116" s="116"/>
      <c r="IQ116" s="116"/>
      <c r="IR116" s="116"/>
      <c r="IS116" s="116"/>
      <c r="IT116" s="116"/>
      <c r="IU116" s="116"/>
      <c r="IV116" s="116"/>
      <c r="IW116" s="116"/>
      <c r="IX116" s="116"/>
      <c r="IY116" s="116"/>
      <c r="IZ116" s="116"/>
    </row>
    <row r="117" spans="2:260" x14ac:dyDescent="0.3">
      <c r="B117" s="141" t="s">
        <v>216</v>
      </c>
      <c r="C117" s="229"/>
      <c r="D117" s="272">
        <f>+D116</f>
        <v>-14638861793.282515</v>
      </c>
      <c r="E117" s="272">
        <f>+D117+E116</f>
        <v>-21583108857.804386</v>
      </c>
      <c r="F117" s="272">
        <f>+E117+F116</f>
        <v>-10937289316.65822</v>
      </c>
      <c r="G117" s="272">
        <f>+F117+G116</f>
        <v>-425330878.79634094</v>
      </c>
      <c r="H117" s="272">
        <f>+G117+H116</f>
        <v>16902803585.231319</v>
      </c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  <c r="BD117" s="116"/>
      <c r="BE117" s="116"/>
      <c r="BF117" s="116"/>
      <c r="BG117" s="116"/>
      <c r="BH117" s="116"/>
      <c r="BI117" s="116"/>
      <c r="BJ117" s="116"/>
      <c r="BK117" s="116"/>
      <c r="BL117" s="116"/>
      <c r="BM117" s="116"/>
      <c r="BN117" s="116"/>
      <c r="BO117" s="116"/>
      <c r="BP117" s="116"/>
      <c r="BQ117" s="116"/>
      <c r="BR117" s="116"/>
      <c r="BS117" s="116"/>
      <c r="BT117" s="116"/>
      <c r="BU117" s="116"/>
      <c r="BV117" s="116"/>
      <c r="BW117" s="116"/>
      <c r="BX117" s="116"/>
      <c r="BY117" s="116"/>
      <c r="BZ117" s="116"/>
      <c r="CA117" s="116"/>
      <c r="CB117" s="116"/>
      <c r="CC117" s="116"/>
      <c r="CD117" s="116"/>
      <c r="CE117" s="116"/>
      <c r="CF117" s="116"/>
      <c r="CG117" s="116"/>
      <c r="CH117" s="116"/>
      <c r="CI117" s="116"/>
      <c r="CJ117" s="116"/>
      <c r="CK117" s="116"/>
      <c r="CL117" s="116"/>
      <c r="CM117" s="116"/>
      <c r="CN117" s="116"/>
      <c r="CO117" s="116"/>
      <c r="CP117" s="116"/>
      <c r="CQ117" s="116"/>
      <c r="CR117" s="116"/>
      <c r="CS117" s="116"/>
      <c r="CT117" s="116"/>
      <c r="CU117" s="116"/>
      <c r="CV117" s="116"/>
      <c r="CW117" s="116"/>
      <c r="CX117" s="116"/>
      <c r="CY117" s="116"/>
      <c r="CZ117" s="116"/>
      <c r="DA117" s="116"/>
      <c r="DB117" s="116"/>
      <c r="DC117" s="116"/>
      <c r="DD117" s="116"/>
      <c r="DE117" s="116"/>
      <c r="DF117" s="116"/>
      <c r="DG117" s="116"/>
      <c r="DH117" s="116"/>
      <c r="DI117" s="116"/>
      <c r="DJ117" s="116"/>
      <c r="DK117" s="116"/>
      <c r="DL117" s="116"/>
      <c r="DM117" s="116"/>
      <c r="DN117" s="116"/>
      <c r="DO117" s="116"/>
      <c r="DP117" s="116"/>
      <c r="DQ117" s="116"/>
      <c r="DR117" s="116"/>
      <c r="DS117" s="116"/>
      <c r="DT117" s="116"/>
      <c r="DU117" s="116"/>
      <c r="DV117" s="116"/>
      <c r="DW117" s="116"/>
      <c r="DX117" s="116"/>
      <c r="DY117" s="116"/>
      <c r="DZ117" s="116"/>
      <c r="EA117" s="116"/>
      <c r="EB117" s="116"/>
      <c r="EC117" s="116"/>
      <c r="ED117" s="116"/>
      <c r="EE117" s="116"/>
      <c r="EF117" s="116"/>
      <c r="EG117" s="116"/>
      <c r="EH117" s="116"/>
      <c r="EI117" s="116"/>
      <c r="EJ117" s="116"/>
      <c r="EK117" s="116"/>
      <c r="EL117" s="116"/>
      <c r="EM117" s="116"/>
      <c r="EN117" s="116"/>
      <c r="EO117" s="116"/>
      <c r="EP117" s="116"/>
      <c r="EQ117" s="116"/>
      <c r="ER117" s="116"/>
      <c r="ES117" s="116"/>
      <c r="ET117" s="116"/>
      <c r="EU117" s="116"/>
      <c r="EV117" s="116"/>
      <c r="EW117" s="116"/>
      <c r="EX117" s="116"/>
      <c r="EY117" s="116"/>
      <c r="EZ117" s="116"/>
      <c r="FA117" s="116"/>
      <c r="FB117" s="116"/>
      <c r="FC117" s="116"/>
      <c r="FD117" s="116"/>
      <c r="FE117" s="116"/>
      <c r="FF117" s="116"/>
      <c r="FG117" s="116"/>
      <c r="FH117" s="116"/>
      <c r="FI117" s="116"/>
      <c r="FJ117" s="116"/>
      <c r="FK117" s="116"/>
      <c r="FL117" s="116"/>
      <c r="FM117" s="116"/>
      <c r="FN117" s="116"/>
      <c r="FO117" s="116"/>
      <c r="FP117" s="116"/>
      <c r="FQ117" s="116"/>
      <c r="FR117" s="116"/>
      <c r="FS117" s="116"/>
      <c r="FT117" s="116"/>
      <c r="FU117" s="116"/>
      <c r="FV117" s="116"/>
      <c r="FW117" s="116"/>
      <c r="FX117" s="116"/>
      <c r="FY117" s="116"/>
      <c r="FZ117" s="116"/>
      <c r="GA117" s="116"/>
      <c r="GB117" s="116"/>
      <c r="GC117" s="116"/>
      <c r="GD117" s="116"/>
      <c r="GE117" s="116"/>
      <c r="GF117" s="116"/>
      <c r="GG117" s="116"/>
      <c r="GH117" s="116"/>
      <c r="GI117" s="116"/>
      <c r="GJ117" s="116"/>
      <c r="GK117" s="116"/>
      <c r="GL117" s="116"/>
      <c r="GM117" s="116"/>
      <c r="GN117" s="116"/>
      <c r="GO117" s="116"/>
      <c r="GP117" s="116"/>
      <c r="GQ117" s="116"/>
      <c r="GR117" s="116"/>
      <c r="GS117" s="116"/>
      <c r="GT117" s="116"/>
      <c r="GU117" s="116"/>
      <c r="GV117" s="116"/>
      <c r="GW117" s="116"/>
      <c r="GX117" s="116"/>
      <c r="GY117" s="116"/>
      <c r="GZ117" s="116"/>
      <c r="HA117" s="116"/>
      <c r="HB117" s="116"/>
      <c r="HC117" s="116"/>
      <c r="HD117" s="116"/>
      <c r="HE117" s="116"/>
      <c r="HF117" s="116"/>
      <c r="HG117" s="116"/>
      <c r="HH117" s="116"/>
      <c r="HI117" s="116"/>
      <c r="HJ117" s="116"/>
      <c r="HK117" s="116"/>
      <c r="HL117" s="116"/>
      <c r="HM117" s="116"/>
      <c r="HN117" s="116"/>
      <c r="HO117" s="116"/>
      <c r="HP117" s="116"/>
      <c r="HQ117" s="116"/>
      <c r="HR117" s="116"/>
      <c r="HS117" s="116"/>
      <c r="HT117" s="116"/>
      <c r="HU117" s="116"/>
      <c r="HV117" s="116"/>
      <c r="HW117" s="116"/>
      <c r="HX117" s="116"/>
      <c r="HY117" s="116"/>
      <c r="HZ117" s="116"/>
      <c r="IA117" s="116"/>
      <c r="IB117" s="116"/>
      <c r="IC117" s="116"/>
      <c r="ID117" s="116"/>
      <c r="IE117" s="116"/>
      <c r="IF117" s="116"/>
      <c r="IG117" s="116"/>
      <c r="IH117" s="116"/>
      <c r="II117" s="116"/>
      <c r="IJ117" s="116"/>
      <c r="IK117" s="116"/>
      <c r="IL117" s="116"/>
      <c r="IM117" s="116"/>
      <c r="IN117" s="116"/>
      <c r="IO117" s="116"/>
      <c r="IP117" s="116"/>
      <c r="IQ117" s="116"/>
      <c r="IR117" s="116"/>
      <c r="IS117" s="116"/>
      <c r="IT117" s="116"/>
      <c r="IU117" s="116"/>
      <c r="IV117" s="116"/>
      <c r="IW117" s="116"/>
      <c r="IX117" s="116"/>
      <c r="IY117" s="116"/>
      <c r="IZ117" s="116"/>
    </row>
    <row r="118" spans="2:260" x14ac:dyDescent="0.3">
      <c r="B118" s="161" t="s">
        <v>193</v>
      </c>
      <c r="C118" s="281">
        <f>+IRR(C115:H115)</f>
        <v>0.41158815273179306</v>
      </c>
      <c r="D118" s="233"/>
      <c r="E118" s="233"/>
      <c r="F118" s="233"/>
      <c r="G118" s="233"/>
      <c r="H118" s="234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  <c r="DT118" s="116"/>
      <c r="DU118" s="116"/>
      <c r="DV118" s="116"/>
      <c r="DW118" s="116"/>
      <c r="DX118" s="116"/>
      <c r="DY118" s="116"/>
      <c r="DZ118" s="116"/>
      <c r="EA118" s="116"/>
      <c r="EB118" s="116"/>
      <c r="EC118" s="116"/>
      <c r="ED118" s="116"/>
      <c r="EE118" s="116"/>
      <c r="EF118" s="116"/>
      <c r="EG118" s="116"/>
      <c r="EH118" s="116"/>
      <c r="EI118" s="116"/>
      <c r="EJ118" s="116"/>
      <c r="EK118" s="116"/>
      <c r="EL118" s="116"/>
      <c r="EM118" s="116"/>
      <c r="EN118" s="116"/>
      <c r="EO118" s="116"/>
      <c r="EP118" s="116"/>
      <c r="EQ118" s="116"/>
      <c r="ER118" s="116"/>
      <c r="ES118" s="116"/>
      <c r="ET118" s="116"/>
      <c r="EU118" s="116"/>
      <c r="EV118" s="116"/>
      <c r="EW118" s="116"/>
      <c r="EX118" s="116"/>
      <c r="EY118" s="116"/>
      <c r="EZ118" s="116"/>
      <c r="FA118" s="116"/>
      <c r="FB118" s="116"/>
      <c r="FC118" s="116"/>
      <c r="FD118" s="116"/>
      <c r="FE118" s="116"/>
      <c r="FF118" s="116"/>
      <c r="FG118" s="116"/>
      <c r="FH118" s="116"/>
      <c r="FI118" s="116"/>
      <c r="FJ118" s="116"/>
      <c r="FK118" s="116"/>
      <c r="FL118" s="116"/>
      <c r="FM118" s="116"/>
      <c r="FN118" s="116"/>
      <c r="FO118" s="116"/>
      <c r="FP118" s="116"/>
      <c r="FQ118" s="116"/>
      <c r="FR118" s="116"/>
      <c r="FS118" s="116"/>
      <c r="FT118" s="116"/>
      <c r="FU118" s="116"/>
      <c r="FV118" s="116"/>
      <c r="FW118" s="116"/>
      <c r="FX118" s="116"/>
      <c r="FY118" s="116"/>
      <c r="FZ118" s="116"/>
      <c r="GA118" s="116"/>
      <c r="GB118" s="116"/>
      <c r="GC118" s="116"/>
      <c r="GD118" s="116"/>
      <c r="GE118" s="116"/>
      <c r="GF118" s="116"/>
      <c r="GG118" s="116"/>
      <c r="GH118" s="116"/>
      <c r="GI118" s="116"/>
      <c r="GJ118" s="116"/>
      <c r="GK118" s="116"/>
      <c r="GL118" s="116"/>
      <c r="GM118" s="116"/>
      <c r="GN118" s="116"/>
      <c r="GO118" s="116"/>
      <c r="GP118" s="116"/>
      <c r="GQ118" s="116"/>
      <c r="GR118" s="116"/>
      <c r="GS118" s="116"/>
      <c r="GT118" s="116"/>
      <c r="GU118" s="116"/>
      <c r="GV118" s="116"/>
      <c r="GW118" s="116"/>
      <c r="GX118" s="116"/>
      <c r="GY118" s="116"/>
      <c r="GZ118" s="116"/>
      <c r="HA118" s="116"/>
      <c r="HB118" s="116"/>
      <c r="HC118" s="116"/>
      <c r="HD118" s="116"/>
      <c r="HE118" s="116"/>
      <c r="HF118" s="116"/>
      <c r="HG118" s="116"/>
      <c r="HH118" s="116"/>
      <c r="HI118" s="116"/>
      <c r="HJ118" s="116"/>
      <c r="HK118" s="116"/>
      <c r="HL118" s="116"/>
      <c r="HM118" s="116"/>
      <c r="HN118" s="116"/>
      <c r="HO118" s="116"/>
      <c r="HP118" s="116"/>
      <c r="HQ118" s="116"/>
      <c r="HR118" s="116"/>
      <c r="HS118" s="116"/>
      <c r="HT118" s="116"/>
      <c r="HU118" s="116"/>
      <c r="HV118" s="116"/>
      <c r="HW118" s="116"/>
      <c r="HX118" s="116"/>
      <c r="HY118" s="116"/>
      <c r="HZ118" s="116"/>
      <c r="IA118" s="116"/>
      <c r="IB118" s="116"/>
      <c r="IC118" s="116"/>
      <c r="ID118" s="116"/>
      <c r="IE118" s="116"/>
      <c r="IF118" s="116"/>
      <c r="IG118" s="116"/>
      <c r="IH118" s="116"/>
      <c r="II118" s="116"/>
      <c r="IJ118" s="116"/>
      <c r="IK118" s="116"/>
      <c r="IL118" s="116"/>
      <c r="IM118" s="116"/>
      <c r="IN118" s="116"/>
      <c r="IO118" s="116"/>
      <c r="IP118" s="116"/>
      <c r="IQ118" s="116"/>
      <c r="IR118" s="116"/>
      <c r="IS118" s="116"/>
      <c r="IT118" s="116"/>
      <c r="IU118" s="116"/>
      <c r="IV118" s="116"/>
      <c r="IW118" s="116"/>
      <c r="IX118" s="116"/>
      <c r="IY118" s="116"/>
      <c r="IZ118" s="116"/>
    </row>
    <row r="119" spans="2:260" x14ac:dyDescent="0.3">
      <c r="B119" s="161" t="s">
        <v>194</v>
      </c>
      <c r="C119" s="247">
        <f>+NPV(C79,D115:H115)+C115</f>
        <v>16832098585.231318</v>
      </c>
      <c r="D119" s="143"/>
      <c r="E119" s="144"/>
      <c r="F119" s="143"/>
      <c r="G119" s="143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16"/>
      <c r="BD119" s="116"/>
      <c r="BE119" s="116"/>
      <c r="BF119" s="116"/>
      <c r="BG119" s="116"/>
      <c r="BH119" s="116"/>
      <c r="BI119" s="116"/>
      <c r="BJ119" s="116"/>
      <c r="BK119" s="116"/>
      <c r="BL119" s="116"/>
      <c r="BM119" s="116"/>
      <c r="BN119" s="116"/>
      <c r="BO119" s="116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  <c r="CB119" s="116"/>
      <c r="CC119" s="116"/>
      <c r="CD119" s="116"/>
      <c r="CE119" s="116"/>
      <c r="CF119" s="116"/>
      <c r="CG119" s="116"/>
      <c r="CH119" s="116"/>
      <c r="CI119" s="116"/>
      <c r="CJ119" s="116"/>
      <c r="CK119" s="116"/>
      <c r="CL119" s="116"/>
      <c r="CM119" s="116"/>
      <c r="CN119" s="116"/>
      <c r="CO119" s="116"/>
      <c r="CP119" s="116"/>
      <c r="CQ119" s="116"/>
      <c r="CR119" s="116"/>
      <c r="CS119" s="116"/>
      <c r="CT119" s="116"/>
      <c r="CU119" s="116"/>
      <c r="CV119" s="116"/>
      <c r="CW119" s="116"/>
      <c r="CX119" s="116"/>
      <c r="CY119" s="116"/>
      <c r="CZ119" s="116"/>
      <c r="DA119" s="116"/>
      <c r="DB119" s="116"/>
      <c r="DC119" s="116"/>
      <c r="DD119" s="116"/>
      <c r="DE119" s="116"/>
      <c r="DF119" s="116"/>
      <c r="DG119" s="116"/>
      <c r="DH119" s="116"/>
      <c r="DI119" s="116"/>
      <c r="DJ119" s="116"/>
      <c r="DK119" s="116"/>
      <c r="DL119" s="116"/>
      <c r="DM119" s="116"/>
      <c r="DN119" s="116"/>
      <c r="DO119" s="116"/>
      <c r="DP119" s="116"/>
      <c r="DQ119" s="116"/>
      <c r="DR119" s="116"/>
      <c r="DS119" s="116"/>
      <c r="DT119" s="116"/>
      <c r="DU119" s="116"/>
      <c r="DV119" s="116"/>
      <c r="DW119" s="116"/>
      <c r="DX119" s="116"/>
      <c r="DY119" s="116"/>
      <c r="DZ119" s="116"/>
      <c r="EA119" s="116"/>
      <c r="EB119" s="116"/>
      <c r="EC119" s="116"/>
      <c r="ED119" s="116"/>
      <c r="EE119" s="116"/>
      <c r="EF119" s="116"/>
      <c r="EG119" s="116"/>
      <c r="EH119" s="116"/>
      <c r="EI119" s="116"/>
      <c r="EJ119" s="116"/>
      <c r="EK119" s="116"/>
      <c r="EL119" s="116"/>
      <c r="EM119" s="116"/>
      <c r="EN119" s="116"/>
      <c r="EO119" s="116"/>
      <c r="EP119" s="116"/>
      <c r="EQ119" s="116"/>
      <c r="ER119" s="116"/>
      <c r="ES119" s="116"/>
      <c r="ET119" s="116"/>
      <c r="EU119" s="116"/>
      <c r="EV119" s="116"/>
      <c r="EW119" s="116"/>
      <c r="EX119" s="116"/>
      <c r="EY119" s="116"/>
      <c r="EZ119" s="116"/>
      <c r="FA119" s="116"/>
      <c r="FB119" s="116"/>
      <c r="FC119" s="116"/>
      <c r="FD119" s="116"/>
      <c r="FE119" s="116"/>
      <c r="FF119" s="116"/>
      <c r="FG119" s="116"/>
      <c r="FH119" s="116"/>
      <c r="FI119" s="116"/>
      <c r="FJ119" s="116"/>
      <c r="FK119" s="116"/>
      <c r="FL119" s="116"/>
      <c r="FM119" s="116"/>
      <c r="FN119" s="116"/>
      <c r="FO119" s="116"/>
      <c r="FP119" s="116"/>
      <c r="FQ119" s="116"/>
      <c r="FR119" s="116"/>
      <c r="FS119" s="116"/>
      <c r="FT119" s="116"/>
      <c r="FU119" s="116"/>
      <c r="FV119" s="116"/>
      <c r="FW119" s="116"/>
      <c r="FX119" s="116"/>
      <c r="FY119" s="116"/>
      <c r="FZ119" s="116"/>
      <c r="GA119" s="116"/>
      <c r="GB119" s="116"/>
      <c r="GC119" s="116"/>
      <c r="GD119" s="116"/>
      <c r="GE119" s="116"/>
      <c r="GF119" s="116"/>
      <c r="GG119" s="116"/>
      <c r="GH119" s="116"/>
      <c r="GI119" s="116"/>
      <c r="GJ119" s="116"/>
      <c r="GK119" s="116"/>
      <c r="GL119" s="116"/>
      <c r="GM119" s="116"/>
      <c r="GN119" s="116"/>
      <c r="GO119" s="116"/>
      <c r="GP119" s="116"/>
      <c r="GQ119" s="116"/>
      <c r="GR119" s="116"/>
      <c r="GS119" s="116"/>
      <c r="GT119" s="116"/>
      <c r="GU119" s="116"/>
      <c r="GV119" s="116"/>
      <c r="GW119" s="116"/>
      <c r="GX119" s="116"/>
      <c r="GY119" s="116"/>
      <c r="GZ119" s="116"/>
      <c r="HA119" s="116"/>
      <c r="HB119" s="116"/>
      <c r="HC119" s="116"/>
      <c r="HD119" s="116"/>
      <c r="HE119" s="116"/>
      <c r="HF119" s="116"/>
      <c r="HG119" s="116"/>
      <c r="HH119" s="116"/>
      <c r="HI119" s="116"/>
      <c r="HJ119" s="116"/>
      <c r="HK119" s="116"/>
      <c r="HL119" s="116"/>
      <c r="HM119" s="116"/>
      <c r="HN119" s="116"/>
      <c r="HO119" s="116"/>
      <c r="HP119" s="116"/>
      <c r="HQ119" s="116"/>
      <c r="HR119" s="116"/>
      <c r="HS119" s="116"/>
      <c r="HT119" s="116"/>
      <c r="HU119" s="116"/>
      <c r="HV119" s="116"/>
      <c r="HW119" s="116"/>
      <c r="HX119" s="116"/>
      <c r="HY119" s="116"/>
      <c r="HZ119" s="116"/>
      <c r="IA119" s="116"/>
      <c r="IB119" s="116"/>
      <c r="IC119" s="116"/>
      <c r="ID119" s="116"/>
      <c r="IE119" s="116"/>
      <c r="IF119" s="116"/>
      <c r="IG119" s="116"/>
      <c r="IH119" s="116"/>
      <c r="II119" s="116"/>
      <c r="IJ119" s="116"/>
      <c r="IK119" s="116"/>
      <c r="IL119" s="116"/>
      <c r="IM119" s="116"/>
      <c r="IN119" s="116"/>
      <c r="IO119" s="116"/>
      <c r="IP119" s="116"/>
      <c r="IQ119" s="116"/>
      <c r="IR119" s="116"/>
      <c r="IS119" s="116"/>
      <c r="IT119" s="116"/>
      <c r="IU119" s="116"/>
      <c r="IV119" s="116"/>
      <c r="IW119" s="116"/>
      <c r="IX119" s="116"/>
      <c r="IY119" s="116"/>
      <c r="IZ119" s="116"/>
    </row>
    <row r="120" spans="2:260" x14ac:dyDescent="0.3">
      <c r="B120" s="161" t="s">
        <v>171</v>
      </c>
      <c r="C120" s="255" t="s">
        <v>261</v>
      </c>
      <c r="D120" s="139"/>
      <c r="E120" s="115"/>
      <c r="F120" s="115"/>
      <c r="G120" s="115"/>
      <c r="H120" s="115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  <c r="CE120" s="116"/>
      <c r="CF120" s="116"/>
      <c r="CG120" s="116"/>
      <c r="CH120" s="116"/>
      <c r="CI120" s="116"/>
      <c r="CJ120" s="116"/>
      <c r="CK120" s="116"/>
      <c r="CL120" s="116"/>
      <c r="CM120" s="116"/>
      <c r="CN120" s="116"/>
      <c r="CO120" s="116"/>
      <c r="CP120" s="116"/>
      <c r="CQ120" s="116"/>
      <c r="CR120" s="116"/>
      <c r="CS120" s="116"/>
      <c r="CT120" s="116"/>
      <c r="CU120" s="116"/>
      <c r="CV120" s="116"/>
      <c r="CW120" s="116"/>
      <c r="CX120" s="116"/>
      <c r="CY120" s="116"/>
      <c r="CZ120" s="116"/>
      <c r="DA120" s="116"/>
      <c r="DB120" s="116"/>
      <c r="DC120" s="116"/>
      <c r="DD120" s="116"/>
      <c r="DE120" s="116"/>
      <c r="DF120" s="116"/>
      <c r="DG120" s="116"/>
      <c r="DH120" s="116"/>
      <c r="DI120" s="116"/>
      <c r="DJ120" s="116"/>
      <c r="DK120" s="116"/>
      <c r="DL120" s="116"/>
      <c r="DM120" s="116"/>
      <c r="DN120" s="116"/>
      <c r="DO120" s="116"/>
      <c r="DP120" s="116"/>
      <c r="DQ120" s="116"/>
      <c r="DR120" s="116"/>
      <c r="DS120" s="116"/>
      <c r="DT120" s="116"/>
      <c r="DU120" s="116"/>
      <c r="DV120" s="116"/>
      <c r="DW120" s="116"/>
      <c r="DX120" s="116"/>
      <c r="DY120" s="116"/>
      <c r="DZ120" s="116"/>
      <c r="EA120" s="116"/>
      <c r="EB120" s="116"/>
      <c r="EC120" s="116"/>
      <c r="ED120" s="116"/>
      <c r="EE120" s="116"/>
      <c r="EF120" s="116"/>
      <c r="EG120" s="116"/>
      <c r="EH120" s="116"/>
      <c r="EI120" s="116"/>
      <c r="EJ120" s="116"/>
      <c r="EK120" s="116"/>
      <c r="EL120" s="116"/>
      <c r="EM120" s="116"/>
      <c r="EN120" s="116"/>
      <c r="EO120" s="116"/>
      <c r="EP120" s="116"/>
      <c r="EQ120" s="116"/>
      <c r="ER120" s="116"/>
      <c r="ES120" s="116"/>
      <c r="ET120" s="116"/>
      <c r="EU120" s="116"/>
      <c r="EV120" s="116"/>
      <c r="EW120" s="116"/>
      <c r="EX120" s="116"/>
      <c r="EY120" s="116"/>
      <c r="EZ120" s="116"/>
      <c r="FA120" s="116"/>
      <c r="FB120" s="116"/>
      <c r="FC120" s="116"/>
      <c r="FD120" s="116"/>
      <c r="FE120" s="116"/>
      <c r="FF120" s="116"/>
      <c r="FG120" s="116"/>
      <c r="FH120" s="116"/>
      <c r="FI120" s="116"/>
      <c r="FJ120" s="116"/>
      <c r="FK120" s="116"/>
      <c r="FL120" s="116"/>
      <c r="FM120" s="116"/>
      <c r="FN120" s="116"/>
      <c r="FO120" s="116"/>
      <c r="FP120" s="116"/>
      <c r="FQ120" s="116"/>
      <c r="FR120" s="116"/>
      <c r="FS120" s="116"/>
      <c r="FT120" s="116"/>
      <c r="FU120" s="116"/>
      <c r="FV120" s="116"/>
      <c r="FW120" s="116"/>
      <c r="FX120" s="116"/>
      <c r="FY120" s="116"/>
      <c r="FZ120" s="116"/>
      <c r="GA120" s="116"/>
      <c r="GB120" s="116"/>
      <c r="GC120" s="116"/>
      <c r="GD120" s="116"/>
      <c r="GE120" s="116"/>
      <c r="GF120" s="116"/>
      <c r="GG120" s="116"/>
      <c r="GH120" s="116"/>
      <c r="GI120" s="116"/>
      <c r="GJ120" s="116"/>
      <c r="GK120" s="116"/>
      <c r="GL120" s="116"/>
      <c r="GM120" s="116"/>
      <c r="GN120" s="116"/>
      <c r="GO120" s="116"/>
      <c r="GP120" s="116"/>
      <c r="GQ120" s="116"/>
      <c r="GR120" s="116"/>
      <c r="GS120" s="116"/>
      <c r="GT120" s="116"/>
      <c r="GU120" s="116"/>
      <c r="GV120" s="116"/>
      <c r="GW120" s="116"/>
      <c r="GX120" s="116"/>
      <c r="GY120" s="116"/>
      <c r="GZ120" s="116"/>
      <c r="HA120" s="116"/>
      <c r="HB120" s="116"/>
      <c r="HC120" s="116"/>
      <c r="HD120" s="116"/>
      <c r="HE120" s="116"/>
      <c r="HF120" s="116"/>
      <c r="HG120" s="116"/>
      <c r="HH120" s="116"/>
      <c r="HI120" s="116"/>
      <c r="HJ120" s="116"/>
      <c r="HK120" s="116"/>
      <c r="HL120" s="116"/>
      <c r="HM120" s="116"/>
      <c r="HN120" s="116"/>
      <c r="HO120" s="116"/>
      <c r="HP120" s="116"/>
      <c r="HQ120" s="116"/>
      <c r="HR120" s="116"/>
      <c r="HS120" s="116"/>
      <c r="HT120" s="116"/>
      <c r="HU120" s="116"/>
      <c r="HV120" s="116"/>
      <c r="HW120" s="116"/>
      <c r="HX120" s="116"/>
      <c r="HY120" s="116"/>
      <c r="HZ120" s="116"/>
      <c r="IA120" s="116"/>
      <c r="IB120" s="116"/>
      <c r="IC120" s="116"/>
      <c r="ID120" s="116"/>
      <c r="IE120" s="116"/>
      <c r="IF120" s="116"/>
      <c r="IG120" s="116"/>
      <c r="IH120" s="116"/>
      <c r="II120" s="116"/>
      <c r="IJ120" s="116"/>
      <c r="IK120" s="116"/>
      <c r="IL120" s="116"/>
      <c r="IM120" s="116"/>
      <c r="IN120" s="116"/>
      <c r="IO120" s="116"/>
      <c r="IP120" s="116"/>
      <c r="IQ120" s="116"/>
      <c r="IR120" s="116"/>
      <c r="IS120" s="116"/>
      <c r="IT120" s="116"/>
      <c r="IU120" s="116"/>
      <c r="IV120" s="116"/>
      <c r="IW120" s="116"/>
      <c r="IX120" s="116"/>
      <c r="IY120" s="116"/>
      <c r="IZ120" s="116"/>
    </row>
    <row r="121" spans="2:260" x14ac:dyDescent="0.3">
      <c r="B121" s="224"/>
      <c r="C121" s="116"/>
      <c r="D121" s="139"/>
      <c r="E121" s="115"/>
      <c r="F121" s="115"/>
      <c r="G121" s="115"/>
      <c r="H121" s="115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  <c r="BD121" s="116"/>
      <c r="BE121" s="116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  <c r="CB121" s="116"/>
      <c r="CC121" s="116"/>
      <c r="CD121" s="116"/>
      <c r="CE121" s="116"/>
      <c r="CF121" s="116"/>
      <c r="CG121" s="116"/>
      <c r="CH121" s="116"/>
      <c r="CI121" s="116"/>
      <c r="CJ121" s="116"/>
      <c r="CK121" s="116"/>
      <c r="CL121" s="116"/>
      <c r="CM121" s="116"/>
      <c r="CN121" s="116"/>
      <c r="CO121" s="116"/>
      <c r="CP121" s="116"/>
      <c r="CQ121" s="116"/>
      <c r="CR121" s="116"/>
      <c r="CS121" s="116"/>
      <c r="CT121" s="116"/>
      <c r="CU121" s="116"/>
      <c r="CV121" s="116"/>
      <c r="CW121" s="116"/>
      <c r="CX121" s="116"/>
      <c r="CY121" s="116"/>
      <c r="CZ121" s="116"/>
      <c r="DA121" s="116"/>
      <c r="DB121" s="116"/>
      <c r="DC121" s="116"/>
      <c r="DD121" s="116"/>
      <c r="DE121" s="116"/>
      <c r="DF121" s="116"/>
      <c r="DG121" s="116"/>
      <c r="DH121" s="116"/>
      <c r="DI121" s="116"/>
      <c r="DJ121" s="116"/>
      <c r="DK121" s="116"/>
      <c r="DL121" s="116"/>
      <c r="DM121" s="116"/>
      <c r="DN121" s="116"/>
      <c r="DO121" s="116"/>
      <c r="DP121" s="116"/>
      <c r="DQ121" s="116"/>
      <c r="DR121" s="116"/>
      <c r="DS121" s="116"/>
      <c r="DT121" s="116"/>
      <c r="DU121" s="116"/>
      <c r="DV121" s="116"/>
      <c r="DW121" s="116"/>
      <c r="DX121" s="116"/>
      <c r="DY121" s="116"/>
      <c r="DZ121" s="116"/>
      <c r="EA121" s="116"/>
      <c r="EB121" s="116"/>
      <c r="EC121" s="116"/>
      <c r="ED121" s="116"/>
      <c r="EE121" s="116"/>
      <c r="EF121" s="116"/>
      <c r="EG121" s="116"/>
      <c r="EH121" s="116"/>
      <c r="EI121" s="116"/>
      <c r="EJ121" s="116"/>
      <c r="EK121" s="116"/>
      <c r="EL121" s="116"/>
      <c r="EM121" s="116"/>
      <c r="EN121" s="116"/>
      <c r="EO121" s="116"/>
      <c r="EP121" s="116"/>
      <c r="EQ121" s="116"/>
      <c r="ER121" s="116"/>
      <c r="ES121" s="116"/>
      <c r="ET121" s="116"/>
      <c r="EU121" s="116"/>
      <c r="EV121" s="116"/>
      <c r="EW121" s="116"/>
      <c r="EX121" s="116"/>
      <c r="EY121" s="116"/>
      <c r="EZ121" s="116"/>
      <c r="FA121" s="116"/>
      <c r="FB121" s="116"/>
      <c r="FC121" s="116"/>
      <c r="FD121" s="116"/>
      <c r="FE121" s="116"/>
      <c r="FF121" s="116"/>
      <c r="FG121" s="116"/>
      <c r="FH121" s="116"/>
      <c r="FI121" s="116"/>
      <c r="FJ121" s="116"/>
      <c r="FK121" s="116"/>
      <c r="FL121" s="116"/>
      <c r="FM121" s="116"/>
      <c r="FN121" s="116"/>
      <c r="FO121" s="116"/>
      <c r="FP121" s="116"/>
      <c r="FQ121" s="116"/>
      <c r="FR121" s="116"/>
      <c r="FS121" s="116"/>
      <c r="FT121" s="116"/>
      <c r="FU121" s="116"/>
      <c r="FV121" s="116"/>
      <c r="FW121" s="116"/>
      <c r="FX121" s="116"/>
      <c r="FY121" s="116"/>
      <c r="FZ121" s="116"/>
      <c r="GA121" s="116"/>
      <c r="GB121" s="116"/>
      <c r="GC121" s="116"/>
      <c r="GD121" s="116"/>
      <c r="GE121" s="116"/>
      <c r="GF121" s="116"/>
      <c r="GG121" s="116"/>
      <c r="GH121" s="116"/>
      <c r="GI121" s="116"/>
      <c r="GJ121" s="116"/>
      <c r="GK121" s="116"/>
      <c r="GL121" s="116"/>
      <c r="GM121" s="116"/>
      <c r="GN121" s="116"/>
      <c r="GO121" s="116"/>
      <c r="GP121" s="116"/>
      <c r="GQ121" s="116"/>
      <c r="GR121" s="116"/>
      <c r="GS121" s="116"/>
      <c r="GT121" s="116"/>
      <c r="GU121" s="116"/>
      <c r="GV121" s="116"/>
      <c r="GW121" s="116"/>
      <c r="GX121" s="116"/>
      <c r="GY121" s="116"/>
      <c r="GZ121" s="116"/>
      <c r="HA121" s="116"/>
      <c r="HB121" s="116"/>
      <c r="HC121" s="116"/>
      <c r="HD121" s="116"/>
      <c r="HE121" s="116"/>
      <c r="HF121" s="116"/>
      <c r="HG121" s="116"/>
      <c r="HH121" s="116"/>
      <c r="HI121" s="116"/>
      <c r="HJ121" s="116"/>
      <c r="HK121" s="116"/>
      <c r="HL121" s="116"/>
      <c r="HM121" s="116"/>
      <c r="HN121" s="116"/>
      <c r="HO121" s="116"/>
      <c r="HP121" s="116"/>
      <c r="HQ121" s="116"/>
      <c r="HR121" s="116"/>
      <c r="HS121" s="116"/>
      <c r="HT121" s="116"/>
      <c r="HU121" s="116"/>
      <c r="HV121" s="116"/>
      <c r="HW121" s="116"/>
      <c r="HX121" s="116"/>
      <c r="HY121" s="116"/>
      <c r="HZ121" s="116"/>
      <c r="IA121" s="116"/>
      <c r="IB121" s="116"/>
      <c r="IC121" s="116"/>
      <c r="ID121" s="116"/>
      <c r="IE121" s="116"/>
      <c r="IF121" s="116"/>
      <c r="IG121" s="116"/>
      <c r="IH121" s="116"/>
      <c r="II121" s="116"/>
      <c r="IJ121" s="116"/>
      <c r="IK121" s="116"/>
      <c r="IL121" s="116"/>
      <c r="IM121" s="116"/>
      <c r="IN121" s="116"/>
      <c r="IO121" s="116"/>
      <c r="IP121" s="116"/>
      <c r="IQ121" s="116"/>
      <c r="IR121" s="116"/>
      <c r="IS121" s="116"/>
      <c r="IT121" s="116"/>
      <c r="IU121" s="116"/>
      <c r="IV121" s="116"/>
      <c r="IW121" s="116"/>
      <c r="IX121" s="116"/>
      <c r="IY121" s="116"/>
      <c r="IZ121" s="116"/>
    </row>
    <row r="122" spans="2:260" x14ac:dyDescent="0.3">
      <c r="B122" s="370" t="s">
        <v>178</v>
      </c>
      <c r="C122" s="370"/>
      <c r="D122" s="370"/>
      <c r="E122" s="370"/>
      <c r="F122" s="370"/>
      <c r="G122" s="115"/>
      <c r="H122" s="115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  <c r="BD122" s="116"/>
      <c r="BE122" s="116"/>
      <c r="BF122" s="116"/>
      <c r="BG122" s="116"/>
      <c r="BH122" s="116"/>
      <c r="BI122" s="116"/>
      <c r="BJ122" s="116"/>
      <c r="BK122" s="116"/>
      <c r="BL122" s="116"/>
      <c r="BM122" s="116"/>
      <c r="BN122" s="116"/>
      <c r="BO122" s="116"/>
      <c r="BP122" s="116"/>
      <c r="BQ122" s="116"/>
      <c r="BR122" s="116"/>
      <c r="BS122" s="116"/>
      <c r="BT122" s="116"/>
      <c r="BU122" s="116"/>
      <c r="BV122" s="116"/>
      <c r="BW122" s="116"/>
      <c r="BX122" s="116"/>
      <c r="BY122" s="116"/>
      <c r="BZ122" s="116"/>
      <c r="CA122" s="116"/>
      <c r="CB122" s="116"/>
      <c r="CC122" s="116"/>
      <c r="CD122" s="116"/>
      <c r="CE122" s="116"/>
      <c r="CF122" s="116"/>
      <c r="CG122" s="116"/>
      <c r="CH122" s="116"/>
      <c r="CI122" s="116"/>
      <c r="CJ122" s="116"/>
      <c r="CK122" s="116"/>
      <c r="CL122" s="116"/>
      <c r="CM122" s="116"/>
      <c r="CN122" s="116"/>
      <c r="CO122" s="116"/>
      <c r="CP122" s="116"/>
      <c r="CQ122" s="116"/>
      <c r="CR122" s="116"/>
      <c r="CS122" s="116"/>
      <c r="CT122" s="116"/>
      <c r="CU122" s="116"/>
      <c r="CV122" s="116"/>
      <c r="CW122" s="116"/>
      <c r="CX122" s="116"/>
      <c r="CY122" s="116"/>
      <c r="CZ122" s="116"/>
      <c r="DA122" s="116"/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  <c r="DL122" s="116"/>
      <c r="DM122" s="116"/>
      <c r="DN122" s="116"/>
      <c r="DO122" s="116"/>
      <c r="DP122" s="116"/>
      <c r="DQ122" s="116"/>
      <c r="DR122" s="116"/>
      <c r="DS122" s="116"/>
      <c r="DT122" s="116"/>
      <c r="DU122" s="116"/>
      <c r="DV122" s="116"/>
      <c r="DW122" s="116"/>
      <c r="DX122" s="116"/>
      <c r="DY122" s="116"/>
      <c r="DZ122" s="116"/>
      <c r="EA122" s="116"/>
      <c r="EB122" s="116"/>
      <c r="EC122" s="116"/>
      <c r="ED122" s="116"/>
      <c r="EE122" s="116"/>
      <c r="EF122" s="116"/>
      <c r="EG122" s="116"/>
      <c r="EH122" s="116"/>
      <c r="EI122" s="116"/>
      <c r="EJ122" s="116"/>
      <c r="EK122" s="116"/>
      <c r="EL122" s="116"/>
      <c r="EM122" s="116"/>
      <c r="EN122" s="116"/>
      <c r="EO122" s="116"/>
      <c r="EP122" s="116"/>
      <c r="EQ122" s="116"/>
      <c r="ER122" s="116"/>
      <c r="ES122" s="116"/>
      <c r="ET122" s="116"/>
      <c r="EU122" s="116"/>
      <c r="EV122" s="116"/>
      <c r="EW122" s="116"/>
      <c r="EX122" s="116"/>
      <c r="EY122" s="116"/>
      <c r="EZ122" s="116"/>
      <c r="FA122" s="116"/>
      <c r="FB122" s="116"/>
      <c r="FC122" s="116"/>
      <c r="FD122" s="116"/>
      <c r="FE122" s="116"/>
      <c r="FF122" s="116"/>
      <c r="FG122" s="116"/>
      <c r="FH122" s="116"/>
      <c r="FI122" s="116"/>
      <c r="FJ122" s="116"/>
      <c r="FK122" s="116"/>
      <c r="FL122" s="116"/>
      <c r="FM122" s="116"/>
      <c r="FN122" s="116"/>
      <c r="FO122" s="116"/>
      <c r="FP122" s="116"/>
      <c r="FQ122" s="116"/>
      <c r="FR122" s="116"/>
      <c r="FS122" s="116"/>
      <c r="FT122" s="116"/>
      <c r="FU122" s="116"/>
      <c r="FV122" s="116"/>
      <c r="FW122" s="116"/>
      <c r="FX122" s="116"/>
      <c r="FY122" s="116"/>
      <c r="FZ122" s="116"/>
      <c r="GA122" s="116"/>
      <c r="GB122" s="116"/>
      <c r="GC122" s="116"/>
      <c r="GD122" s="116"/>
      <c r="GE122" s="116"/>
      <c r="GF122" s="116"/>
      <c r="GG122" s="116"/>
      <c r="GH122" s="116"/>
      <c r="GI122" s="116"/>
      <c r="GJ122" s="116"/>
      <c r="GK122" s="116"/>
      <c r="GL122" s="116"/>
      <c r="GM122" s="116"/>
      <c r="GN122" s="116"/>
      <c r="GO122" s="116"/>
      <c r="GP122" s="116"/>
      <c r="GQ122" s="116"/>
      <c r="GR122" s="116"/>
      <c r="GS122" s="116"/>
      <c r="GT122" s="116"/>
      <c r="GU122" s="116"/>
      <c r="GV122" s="116"/>
      <c r="GW122" s="116"/>
      <c r="GX122" s="116"/>
      <c r="GY122" s="116"/>
      <c r="GZ122" s="116"/>
      <c r="HA122" s="116"/>
      <c r="HB122" s="116"/>
      <c r="HC122" s="116"/>
      <c r="HD122" s="116"/>
      <c r="HE122" s="116"/>
      <c r="HF122" s="116"/>
      <c r="HG122" s="116"/>
      <c r="HH122" s="116"/>
      <c r="HI122" s="116"/>
      <c r="HJ122" s="116"/>
      <c r="HK122" s="116"/>
      <c r="HL122" s="116"/>
      <c r="HM122" s="116"/>
      <c r="HN122" s="116"/>
      <c r="HO122" s="116"/>
      <c r="HP122" s="116"/>
      <c r="HQ122" s="116"/>
      <c r="HR122" s="116"/>
      <c r="HS122" s="116"/>
      <c r="HT122" s="116"/>
      <c r="HU122" s="116"/>
      <c r="HV122" s="116"/>
      <c r="HW122" s="116"/>
      <c r="HX122" s="116"/>
      <c r="HY122" s="116"/>
      <c r="HZ122" s="116"/>
      <c r="IA122" s="116"/>
      <c r="IB122" s="116"/>
      <c r="IC122" s="116"/>
      <c r="ID122" s="116"/>
      <c r="IE122" s="116"/>
      <c r="IF122" s="116"/>
      <c r="IG122" s="116"/>
      <c r="IH122" s="116"/>
      <c r="II122" s="116"/>
      <c r="IJ122" s="116"/>
      <c r="IK122" s="116"/>
      <c r="IL122" s="116"/>
      <c r="IM122" s="116"/>
      <c r="IN122" s="116"/>
      <c r="IO122" s="116"/>
      <c r="IP122" s="116"/>
      <c r="IQ122" s="116"/>
      <c r="IR122" s="116"/>
      <c r="IS122" s="116"/>
      <c r="IT122" s="116"/>
      <c r="IU122" s="116"/>
      <c r="IV122" s="116"/>
      <c r="IW122" s="116"/>
    </row>
    <row r="123" spans="2:260" x14ac:dyDescent="0.3">
      <c r="B123" s="369" t="s">
        <v>195</v>
      </c>
      <c r="C123" s="369"/>
      <c r="D123" s="369"/>
      <c r="E123" s="369"/>
      <c r="F123" s="369"/>
      <c r="G123" s="115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16"/>
      <c r="BD123" s="116"/>
      <c r="BE123" s="116"/>
      <c r="BF123" s="116"/>
      <c r="BG123" s="116"/>
      <c r="BH123" s="116"/>
      <c r="BI123" s="116"/>
      <c r="BJ123" s="116"/>
      <c r="BK123" s="116"/>
      <c r="BL123" s="116"/>
      <c r="BM123" s="116"/>
      <c r="BN123" s="116"/>
      <c r="BO123" s="116"/>
      <c r="BP123" s="116"/>
      <c r="BQ123" s="116"/>
      <c r="BR123" s="116"/>
      <c r="BS123" s="116"/>
      <c r="BT123" s="116"/>
      <c r="BU123" s="116"/>
      <c r="BV123" s="116"/>
      <c r="BW123" s="116"/>
      <c r="BX123" s="116"/>
      <c r="BY123" s="116"/>
      <c r="BZ123" s="116"/>
      <c r="CA123" s="116"/>
      <c r="CB123" s="116"/>
      <c r="CC123" s="116"/>
      <c r="CD123" s="116"/>
      <c r="CE123" s="116"/>
      <c r="CF123" s="116"/>
      <c r="CG123" s="116"/>
      <c r="CH123" s="116"/>
      <c r="CI123" s="116"/>
      <c r="CJ123" s="116"/>
      <c r="CK123" s="116"/>
      <c r="CL123" s="116"/>
      <c r="CM123" s="116"/>
      <c r="CN123" s="116"/>
      <c r="CO123" s="116"/>
      <c r="CP123" s="116"/>
      <c r="CQ123" s="116"/>
      <c r="CR123" s="116"/>
      <c r="CS123" s="116"/>
      <c r="CT123" s="116"/>
      <c r="CU123" s="116"/>
      <c r="CV123" s="116"/>
      <c r="CW123" s="116"/>
      <c r="CX123" s="116"/>
      <c r="CY123" s="116"/>
      <c r="CZ123" s="116"/>
      <c r="DA123" s="116"/>
      <c r="DB123" s="116"/>
      <c r="DC123" s="116"/>
      <c r="DD123" s="116"/>
      <c r="DE123" s="116"/>
      <c r="DF123" s="116"/>
      <c r="DG123" s="116"/>
      <c r="DH123" s="116"/>
      <c r="DI123" s="116"/>
      <c r="DJ123" s="116"/>
      <c r="DK123" s="116"/>
      <c r="DL123" s="116"/>
      <c r="DM123" s="116"/>
      <c r="DN123" s="116"/>
      <c r="DO123" s="116"/>
      <c r="DP123" s="116"/>
      <c r="DQ123" s="116"/>
      <c r="DR123" s="116"/>
      <c r="DS123" s="116"/>
      <c r="DT123" s="116"/>
      <c r="DU123" s="116"/>
      <c r="DV123" s="116"/>
      <c r="DW123" s="116"/>
      <c r="DX123" s="116"/>
      <c r="DY123" s="116"/>
      <c r="DZ123" s="116"/>
      <c r="EA123" s="116"/>
      <c r="EB123" s="116"/>
      <c r="EC123" s="116"/>
      <c r="ED123" s="116"/>
      <c r="EE123" s="116"/>
      <c r="EF123" s="116"/>
      <c r="EG123" s="116"/>
      <c r="EH123" s="116"/>
      <c r="EI123" s="116"/>
      <c r="EJ123" s="116"/>
      <c r="EK123" s="116"/>
      <c r="EL123" s="116"/>
      <c r="EM123" s="116"/>
      <c r="EN123" s="116"/>
      <c r="EO123" s="116"/>
      <c r="EP123" s="116"/>
      <c r="EQ123" s="116"/>
      <c r="ER123" s="116"/>
      <c r="ES123" s="116"/>
      <c r="ET123" s="116"/>
      <c r="EU123" s="116"/>
      <c r="EV123" s="116"/>
      <c r="EW123" s="116"/>
      <c r="EX123" s="116"/>
      <c r="EY123" s="116"/>
      <c r="EZ123" s="116"/>
      <c r="FA123" s="116"/>
      <c r="FB123" s="116"/>
      <c r="FC123" s="116"/>
      <c r="FD123" s="116"/>
      <c r="FE123" s="116"/>
      <c r="FF123" s="116"/>
      <c r="FG123" s="116"/>
      <c r="FH123" s="116"/>
      <c r="FI123" s="116"/>
      <c r="FJ123" s="116"/>
      <c r="FK123" s="116"/>
      <c r="FL123" s="116"/>
      <c r="FM123" s="116"/>
      <c r="FN123" s="116"/>
      <c r="FO123" s="116"/>
      <c r="FP123" s="116"/>
      <c r="FQ123" s="116"/>
      <c r="FR123" s="116"/>
      <c r="FS123" s="116"/>
      <c r="FT123" s="116"/>
      <c r="FU123" s="116"/>
      <c r="FV123" s="116"/>
      <c r="FW123" s="116"/>
      <c r="FX123" s="116"/>
      <c r="FY123" s="116"/>
      <c r="FZ123" s="116"/>
      <c r="GA123" s="116"/>
      <c r="GB123" s="116"/>
      <c r="GC123" s="116"/>
      <c r="GD123" s="116"/>
      <c r="GE123" s="116"/>
      <c r="GF123" s="116"/>
      <c r="GG123" s="116"/>
      <c r="GH123" s="116"/>
      <c r="GI123" s="116"/>
      <c r="GJ123" s="116"/>
      <c r="GK123" s="116"/>
      <c r="GL123" s="116"/>
      <c r="GM123" s="116"/>
      <c r="GN123" s="116"/>
      <c r="GO123" s="116"/>
      <c r="GP123" s="116"/>
      <c r="GQ123" s="116"/>
      <c r="GR123" s="116"/>
      <c r="GS123" s="116"/>
      <c r="GT123" s="116"/>
      <c r="GU123" s="116"/>
      <c r="GV123" s="116"/>
      <c r="GW123" s="116"/>
      <c r="GX123" s="116"/>
      <c r="GY123" s="116"/>
      <c r="GZ123" s="116"/>
      <c r="HA123" s="116"/>
      <c r="HB123" s="116"/>
      <c r="HC123" s="116"/>
      <c r="HD123" s="116"/>
      <c r="HE123" s="116"/>
      <c r="HF123" s="116"/>
      <c r="HG123" s="116"/>
      <c r="HH123" s="116"/>
      <c r="HI123" s="116"/>
      <c r="HJ123" s="116"/>
      <c r="HK123" s="116"/>
      <c r="HL123" s="116"/>
      <c r="HM123" s="116"/>
      <c r="HN123" s="116"/>
      <c r="HO123" s="116"/>
      <c r="HP123" s="116"/>
      <c r="HQ123" s="116"/>
      <c r="HR123" s="116"/>
      <c r="HS123" s="116"/>
      <c r="HT123" s="116"/>
      <c r="HU123" s="116"/>
      <c r="HV123" s="116"/>
      <c r="HW123" s="116"/>
      <c r="HX123" s="116"/>
      <c r="HY123" s="116"/>
      <c r="HZ123" s="116"/>
      <c r="IA123" s="116"/>
      <c r="IB123" s="116"/>
      <c r="IC123" s="116"/>
      <c r="ID123" s="116"/>
      <c r="IE123" s="116"/>
      <c r="IF123" s="116"/>
      <c r="IG123" s="116"/>
      <c r="IH123" s="116"/>
      <c r="II123" s="116"/>
      <c r="IJ123" s="116"/>
      <c r="IK123" s="116"/>
      <c r="IL123" s="116"/>
      <c r="IM123" s="116"/>
      <c r="IN123" s="116"/>
      <c r="IO123" s="116"/>
      <c r="IP123" s="116"/>
      <c r="IQ123" s="116"/>
      <c r="IR123" s="116"/>
      <c r="IS123" s="116"/>
      <c r="IT123" s="116"/>
      <c r="IU123" s="116"/>
      <c r="IV123" s="116"/>
      <c r="IW123" s="116"/>
    </row>
    <row r="124" spans="2:260" x14ac:dyDescent="0.3">
      <c r="B124" s="162" t="s">
        <v>196</v>
      </c>
      <c r="C124" s="163" t="s">
        <v>212</v>
      </c>
      <c r="D124" s="163" t="s">
        <v>213</v>
      </c>
      <c r="E124" s="163" t="s">
        <v>197</v>
      </c>
      <c r="F124" s="163" t="s">
        <v>198</v>
      </c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  <c r="BD124" s="116"/>
      <c r="BE124" s="116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116"/>
      <c r="CB124" s="116"/>
      <c r="CC124" s="116"/>
      <c r="CD124" s="116"/>
      <c r="CE124" s="116"/>
      <c r="CF124" s="116"/>
      <c r="CG124" s="116"/>
      <c r="CH124" s="116"/>
      <c r="CI124" s="116"/>
      <c r="CJ124" s="116"/>
      <c r="CK124" s="116"/>
      <c r="CL124" s="116"/>
      <c r="CM124" s="116"/>
      <c r="CN124" s="116"/>
      <c r="CO124" s="116"/>
      <c r="CP124" s="116"/>
      <c r="CQ124" s="116"/>
      <c r="CR124" s="116"/>
      <c r="CS124" s="116"/>
      <c r="CT124" s="116"/>
      <c r="CU124" s="116"/>
      <c r="CV124" s="116"/>
      <c r="CW124" s="116"/>
      <c r="CX124" s="116"/>
      <c r="CY124" s="116"/>
      <c r="CZ124" s="116"/>
      <c r="DA124" s="116"/>
      <c r="DB124" s="116"/>
      <c r="DC124" s="116"/>
      <c r="DD124" s="116"/>
      <c r="DE124" s="116"/>
      <c r="DF124" s="116"/>
      <c r="DG124" s="116"/>
      <c r="DH124" s="116"/>
      <c r="DI124" s="116"/>
      <c r="DJ124" s="116"/>
      <c r="DK124" s="116"/>
      <c r="DL124" s="116"/>
      <c r="DM124" s="116"/>
      <c r="DN124" s="116"/>
      <c r="DO124" s="116"/>
      <c r="DP124" s="116"/>
      <c r="DQ124" s="116"/>
      <c r="DR124" s="116"/>
      <c r="DS124" s="116"/>
      <c r="DT124" s="116"/>
      <c r="DU124" s="116"/>
      <c r="DV124" s="116"/>
      <c r="DW124" s="116"/>
      <c r="DX124" s="116"/>
      <c r="DY124" s="116"/>
      <c r="DZ124" s="116"/>
      <c r="EA124" s="116"/>
      <c r="EB124" s="116"/>
      <c r="EC124" s="116"/>
      <c r="ED124" s="116"/>
      <c r="EE124" s="116"/>
      <c r="EF124" s="116"/>
      <c r="EG124" s="116"/>
      <c r="EH124" s="116"/>
      <c r="EI124" s="116"/>
      <c r="EJ124" s="116"/>
      <c r="EK124" s="116"/>
      <c r="EL124" s="116"/>
      <c r="EM124" s="116"/>
      <c r="EN124" s="116"/>
      <c r="EO124" s="116"/>
      <c r="EP124" s="116"/>
      <c r="EQ124" s="116"/>
      <c r="ER124" s="116"/>
      <c r="ES124" s="116"/>
      <c r="ET124" s="116"/>
      <c r="EU124" s="116"/>
      <c r="EV124" s="116"/>
      <c r="EW124" s="116"/>
      <c r="EX124" s="116"/>
      <c r="EY124" s="116"/>
      <c r="EZ124" s="116"/>
      <c r="FA124" s="116"/>
      <c r="FB124" s="116"/>
      <c r="FC124" s="116"/>
      <c r="FD124" s="116"/>
      <c r="FE124" s="116"/>
      <c r="FF124" s="116"/>
      <c r="FG124" s="116"/>
      <c r="FH124" s="116"/>
      <c r="FI124" s="116"/>
      <c r="FJ124" s="116"/>
      <c r="FK124" s="116"/>
      <c r="FL124" s="116"/>
      <c r="FM124" s="116"/>
      <c r="FN124" s="116"/>
      <c r="FO124" s="116"/>
      <c r="FP124" s="116"/>
      <c r="FQ124" s="116"/>
      <c r="FR124" s="116"/>
      <c r="FS124" s="116"/>
      <c r="FT124" s="116"/>
      <c r="FU124" s="116"/>
      <c r="FV124" s="116"/>
      <c r="FW124" s="116"/>
      <c r="FX124" s="116"/>
      <c r="FY124" s="116"/>
      <c r="FZ124" s="116"/>
      <c r="GA124" s="116"/>
      <c r="GB124" s="116"/>
      <c r="GC124" s="116"/>
      <c r="GD124" s="116"/>
      <c r="GE124" s="116"/>
      <c r="GF124" s="116"/>
      <c r="GG124" s="116"/>
      <c r="GH124" s="116"/>
      <c r="GI124" s="116"/>
      <c r="GJ124" s="116"/>
      <c r="GK124" s="116"/>
      <c r="GL124" s="116"/>
      <c r="GM124" s="116"/>
      <c r="GN124" s="116"/>
      <c r="GO124" s="116"/>
      <c r="GP124" s="116"/>
      <c r="GQ124" s="116"/>
      <c r="GR124" s="116"/>
      <c r="GS124" s="116"/>
      <c r="GT124" s="116"/>
      <c r="GU124" s="116"/>
      <c r="GV124" s="116"/>
      <c r="GW124" s="116"/>
      <c r="GX124" s="116"/>
      <c r="GY124" s="116"/>
      <c r="GZ124" s="116"/>
      <c r="HA124" s="116"/>
      <c r="HB124" s="116"/>
      <c r="HC124" s="116"/>
      <c r="HD124" s="116"/>
      <c r="HE124" s="116"/>
      <c r="HF124" s="116"/>
      <c r="HG124" s="116"/>
      <c r="HH124" s="116"/>
      <c r="HI124" s="116"/>
      <c r="HJ124" s="116"/>
      <c r="HK124" s="116"/>
      <c r="HL124" s="116"/>
      <c r="HM124" s="116"/>
      <c r="HN124" s="116"/>
      <c r="HO124" s="116"/>
      <c r="HP124" s="116"/>
      <c r="HQ124" s="116"/>
      <c r="HR124" s="116"/>
      <c r="HS124" s="116"/>
      <c r="HT124" s="116"/>
      <c r="HU124" s="116"/>
      <c r="HV124" s="116"/>
      <c r="HW124" s="116"/>
      <c r="HX124" s="116"/>
      <c r="HY124" s="116"/>
      <c r="HZ124" s="116"/>
      <c r="IA124" s="116"/>
      <c r="IB124" s="116"/>
      <c r="IC124" s="116"/>
      <c r="ID124" s="116"/>
      <c r="IE124" s="116"/>
      <c r="IF124" s="116"/>
      <c r="IG124" s="116"/>
      <c r="IH124" s="116"/>
      <c r="II124" s="116"/>
      <c r="IJ124" s="116"/>
      <c r="IK124" s="116"/>
      <c r="IL124" s="116"/>
      <c r="IM124" s="116"/>
      <c r="IN124" s="116"/>
      <c r="IO124" s="116"/>
      <c r="IP124" s="116"/>
      <c r="IQ124" s="116"/>
      <c r="IR124" s="116"/>
      <c r="IS124" s="116"/>
      <c r="IT124" s="116"/>
      <c r="IU124" s="116"/>
      <c r="IV124" s="116"/>
      <c r="IW124" s="116"/>
    </row>
    <row r="125" spans="2:260" x14ac:dyDescent="0.3">
      <c r="B125" s="103">
        <v>0</v>
      </c>
      <c r="C125" s="210"/>
      <c r="D125" s="211"/>
      <c r="E125" s="173"/>
      <c r="F125" s="211">
        <f>+C68</f>
        <v>50000000</v>
      </c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/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/>
      <c r="BT125" s="116"/>
      <c r="BU125" s="116"/>
      <c r="BV125" s="116"/>
      <c r="BW125" s="116"/>
      <c r="BX125" s="116"/>
      <c r="BY125" s="116"/>
      <c r="BZ125" s="116"/>
      <c r="CA125" s="116"/>
      <c r="CB125" s="116"/>
      <c r="CC125" s="116"/>
      <c r="CD125" s="116"/>
      <c r="CE125" s="116"/>
      <c r="CF125" s="116"/>
      <c r="CG125" s="116"/>
      <c r="CH125" s="116"/>
      <c r="CI125" s="116"/>
      <c r="CJ125" s="116"/>
      <c r="CK125" s="116"/>
      <c r="CL125" s="116"/>
      <c r="CM125" s="116"/>
      <c r="CN125" s="116"/>
      <c r="CO125" s="116"/>
      <c r="CP125" s="116"/>
      <c r="CQ125" s="116"/>
      <c r="CR125" s="116"/>
      <c r="CS125" s="116"/>
      <c r="CT125" s="116"/>
      <c r="CU125" s="116"/>
      <c r="CV125" s="116"/>
      <c r="CW125" s="116"/>
      <c r="CX125" s="116"/>
      <c r="CY125" s="116"/>
      <c r="CZ125" s="116"/>
      <c r="DA125" s="116"/>
      <c r="DB125" s="116"/>
      <c r="DC125" s="116"/>
      <c r="DD125" s="116"/>
      <c r="DE125" s="116"/>
      <c r="DF125" s="116"/>
      <c r="DG125" s="116"/>
      <c r="DH125" s="116"/>
      <c r="DI125" s="116"/>
      <c r="DJ125" s="116"/>
      <c r="DK125" s="116"/>
      <c r="DL125" s="116"/>
      <c r="DM125" s="116"/>
      <c r="DN125" s="116"/>
      <c r="DO125" s="116"/>
      <c r="DP125" s="116"/>
      <c r="DQ125" s="116"/>
      <c r="DR125" s="116"/>
      <c r="DS125" s="116"/>
      <c r="DT125" s="116"/>
      <c r="DU125" s="116"/>
      <c r="DV125" s="116"/>
      <c r="DW125" s="116"/>
      <c r="DX125" s="116"/>
      <c r="DY125" s="116"/>
      <c r="DZ125" s="116"/>
      <c r="EA125" s="116"/>
      <c r="EB125" s="116"/>
      <c r="EC125" s="116"/>
      <c r="ED125" s="116"/>
      <c r="EE125" s="116"/>
      <c r="EF125" s="116"/>
      <c r="EG125" s="116"/>
      <c r="EH125" s="116"/>
      <c r="EI125" s="116"/>
      <c r="EJ125" s="116"/>
      <c r="EK125" s="116"/>
      <c r="EL125" s="116"/>
      <c r="EM125" s="116"/>
      <c r="EN125" s="116"/>
      <c r="EO125" s="116"/>
      <c r="EP125" s="116"/>
      <c r="EQ125" s="116"/>
      <c r="ER125" s="116"/>
      <c r="ES125" s="116"/>
      <c r="ET125" s="116"/>
      <c r="EU125" s="116"/>
      <c r="EV125" s="116"/>
      <c r="EW125" s="116"/>
      <c r="EX125" s="116"/>
      <c r="EY125" s="116"/>
      <c r="EZ125" s="116"/>
      <c r="FA125" s="116"/>
      <c r="FB125" s="116"/>
      <c r="FC125" s="116"/>
      <c r="FD125" s="116"/>
      <c r="FE125" s="116"/>
      <c r="FF125" s="116"/>
      <c r="FG125" s="116"/>
      <c r="FH125" s="116"/>
      <c r="FI125" s="116"/>
      <c r="FJ125" s="116"/>
      <c r="FK125" s="116"/>
      <c r="FL125" s="116"/>
      <c r="FM125" s="116"/>
      <c r="FN125" s="116"/>
      <c r="FO125" s="116"/>
      <c r="FP125" s="116"/>
      <c r="FQ125" s="116"/>
      <c r="FR125" s="116"/>
      <c r="FS125" s="116"/>
      <c r="FT125" s="116"/>
      <c r="FU125" s="116"/>
      <c r="FV125" s="116"/>
      <c r="FW125" s="116"/>
      <c r="FX125" s="116"/>
      <c r="FY125" s="116"/>
      <c r="FZ125" s="116"/>
      <c r="GA125" s="116"/>
      <c r="GB125" s="116"/>
      <c r="GC125" s="116"/>
      <c r="GD125" s="116"/>
      <c r="GE125" s="116"/>
      <c r="GF125" s="116"/>
      <c r="GG125" s="116"/>
      <c r="GH125" s="116"/>
      <c r="GI125" s="116"/>
      <c r="GJ125" s="116"/>
      <c r="GK125" s="116"/>
      <c r="GL125" s="116"/>
      <c r="GM125" s="116"/>
      <c r="GN125" s="116"/>
      <c r="GO125" s="116"/>
      <c r="GP125" s="116"/>
      <c r="GQ125" s="116"/>
      <c r="GR125" s="116"/>
      <c r="GS125" s="116"/>
      <c r="GT125" s="116"/>
      <c r="GU125" s="116"/>
      <c r="GV125" s="116"/>
      <c r="GW125" s="116"/>
      <c r="GX125" s="116"/>
      <c r="GY125" s="116"/>
      <c r="GZ125" s="116"/>
      <c r="HA125" s="116"/>
      <c r="HB125" s="116"/>
      <c r="HC125" s="116"/>
      <c r="HD125" s="116"/>
      <c r="HE125" s="116"/>
      <c r="HF125" s="116"/>
      <c r="HG125" s="116"/>
      <c r="HH125" s="116"/>
      <c r="HI125" s="116"/>
      <c r="HJ125" s="116"/>
      <c r="HK125" s="116"/>
      <c r="HL125" s="116"/>
      <c r="HM125" s="116"/>
      <c r="HN125" s="116"/>
      <c r="HO125" s="116"/>
      <c r="HP125" s="116"/>
      <c r="HQ125" s="116"/>
      <c r="HR125" s="116"/>
      <c r="HS125" s="116"/>
      <c r="HT125" s="116"/>
      <c r="HU125" s="116"/>
      <c r="HV125" s="116"/>
      <c r="HW125" s="116"/>
      <c r="HX125" s="116"/>
      <c r="HY125" s="116"/>
      <c r="HZ125" s="116"/>
      <c r="IA125" s="116"/>
      <c r="IB125" s="116"/>
      <c r="IC125" s="116"/>
      <c r="ID125" s="116"/>
      <c r="IE125" s="116"/>
      <c r="IF125" s="116"/>
      <c r="IG125" s="116"/>
      <c r="IH125" s="116"/>
      <c r="II125" s="116"/>
      <c r="IJ125" s="116"/>
      <c r="IK125" s="116"/>
      <c r="IL125" s="116"/>
      <c r="IM125" s="116"/>
      <c r="IN125" s="116"/>
      <c r="IO125" s="116"/>
      <c r="IP125" s="116"/>
      <c r="IQ125" s="116"/>
      <c r="IR125" s="116"/>
      <c r="IS125" s="116"/>
      <c r="IT125" s="116"/>
      <c r="IU125" s="116"/>
      <c r="IV125" s="116"/>
      <c r="IW125" s="116"/>
    </row>
    <row r="126" spans="2:260" x14ac:dyDescent="0.3">
      <c r="B126" s="103">
        <v>1</v>
      </c>
      <c r="C126" s="270">
        <f>+-PMT(C69,C71,F125)</f>
        <v>18550417.357223008</v>
      </c>
      <c r="D126" s="211">
        <f>+F125*$C$69</f>
        <v>12445000</v>
      </c>
      <c r="E126" s="173">
        <f>+C126-D126</f>
        <v>6105417.3572230078</v>
      </c>
      <c r="F126" s="211">
        <f>+F125-E126</f>
        <v>43894582.642776996</v>
      </c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116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116"/>
      <c r="BX126" s="116"/>
      <c r="BY126" s="116"/>
      <c r="BZ126" s="116"/>
      <c r="CA126" s="116"/>
      <c r="CB126" s="116"/>
      <c r="CC126" s="116"/>
      <c r="CD126" s="116"/>
      <c r="CE126" s="116"/>
      <c r="CF126" s="116"/>
      <c r="CG126" s="116"/>
      <c r="CH126" s="116"/>
      <c r="CI126" s="116"/>
      <c r="CJ126" s="116"/>
      <c r="CK126" s="116"/>
      <c r="CL126" s="116"/>
      <c r="CM126" s="116"/>
      <c r="CN126" s="116"/>
      <c r="CO126" s="116"/>
      <c r="CP126" s="116"/>
      <c r="CQ126" s="116"/>
      <c r="CR126" s="116"/>
      <c r="CS126" s="116"/>
      <c r="CT126" s="116"/>
      <c r="CU126" s="116"/>
      <c r="CV126" s="116"/>
      <c r="CW126" s="116"/>
      <c r="CX126" s="116"/>
      <c r="CY126" s="116"/>
      <c r="CZ126" s="116"/>
      <c r="DA126" s="116"/>
      <c r="DB126" s="116"/>
      <c r="DC126" s="116"/>
      <c r="DD126" s="116"/>
      <c r="DE126" s="116"/>
      <c r="DF126" s="116"/>
      <c r="DG126" s="116"/>
      <c r="DH126" s="116"/>
      <c r="DI126" s="116"/>
      <c r="DJ126" s="116"/>
      <c r="DK126" s="116"/>
      <c r="DL126" s="116"/>
      <c r="DM126" s="116"/>
      <c r="DN126" s="116"/>
      <c r="DO126" s="116"/>
      <c r="DP126" s="116"/>
      <c r="DQ126" s="116"/>
      <c r="DR126" s="116"/>
      <c r="DS126" s="116"/>
      <c r="DT126" s="116"/>
      <c r="DU126" s="116"/>
      <c r="DV126" s="116"/>
      <c r="DW126" s="116"/>
      <c r="DX126" s="116"/>
      <c r="DY126" s="116"/>
      <c r="DZ126" s="116"/>
      <c r="EA126" s="116"/>
      <c r="EB126" s="116"/>
      <c r="EC126" s="116"/>
      <c r="ED126" s="116"/>
      <c r="EE126" s="116"/>
      <c r="EF126" s="116"/>
      <c r="EG126" s="116"/>
      <c r="EH126" s="116"/>
      <c r="EI126" s="116"/>
      <c r="EJ126" s="116"/>
      <c r="EK126" s="116"/>
      <c r="EL126" s="116"/>
      <c r="EM126" s="116"/>
      <c r="EN126" s="116"/>
      <c r="EO126" s="116"/>
      <c r="EP126" s="116"/>
      <c r="EQ126" s="116"/>
      <c r="ER126" s="116"/>
      <c r="ES126" s="116"/>
      <c r="ET126" s="116"/>
      <c r="EU126" s="116"/>
      <c r="EV126" s="116"/>
      <c r="EW126" s="116"/>
      <c r="EX126" s="116"/>
      <c r="EY126" s="116"/>
      <c r="EZ126" s="116"/>
      <c r="FA126" s="116"/>
      <c r="FB126" s="116"/>
      <c r="FC126" s="116"/>
      <c r="FD126" s="116"/>
      <c r="FE126" s="116"/>
      <c r="FF126" s="116"/>
      <c r="FG126" s="116"/>
      <c r="FH126" s="116"/>
      <c r="FI126" s="116"/>
      <c r="FJ126" s="116"/>
      <c r="FK126" s="116"/>
      <c r="FL126" s="116"/>
      <c r="FM126" s="116"/>
      <c r="FN126" s="116"/>
      <c r="FO126" s="116"/>
      <c r="FP126" s="116"/>
      <c r="FQ126" s="116"/>
      <c r="FR126" s="116"/>
      <c r="FS126" s="116"/>
      <c r="FT126" s="116"/>
      <c r="FU126" s="116"/>
      <c r="FV126" s="116"/>
      <c r="FW126" s="116"/>
      <c r="FX126" s="116"/>
      <c r="FY126" s="116"/>
      <c r="FZ126" s="116"/>
      <c r="GA126" s="116"/>
      <c r="GB126" s="116"/>
      <c r="GC126" s="116"/>
      <c r="GD126" s="116"/>
      <c r="GE126" s="116"/>
      <c r="GF126" s="116"/>
      <c r="GG126" s="116"/>
      <c r="GH126" s="116"/>
      <c r="GI126" s="116"/>
      <c r="GJ126" s="116"/>
      <c r="GK126" s="116"/>
      <c r="GL126" s="116"/>
      <c r="GM126" s="116"/>
      <c r="GN126" s="116"/>
      <c r="GO126" s="116"/>
      <c r="GP126" s="116"/>
      <c r="GQ126" s="116"/>
      <c r="GR126" s="116"/>
      <c r="GS126" s="116"/>
      <c r="GT126" s="116"/>
      <c r="GU126" s="116"/>
      <c r="GV126" s="116"/>
      <c r="GW126" s="116"/>
      <c r="GX126" s="116"/>
      <c r="GY126" s="116"/>
      <c r="GZ126" s="116"/>
      <c r="HA126" s="116"/>
      <c r="HB126" s="116"/>
      <c r="HC126" s="116"/>
      <c r="HD126" s="116"/>
      <c r="HE126" s="116"/>
      <c r="HF126" s="116"/>
      <c r="HG126" s="116"/>
      <c r="HH126" s="116"/>
      <c r="HI126" s="116"/>
      <c r="HJ126" s="116"/>
      <c r="HK126" s="116"/>
      <c r="HL126" s="116"/>
      <c r="HM126" s="116"/>
      <c r="HN126" s="116"/>
      <c r="HO126" s="116"/>
      <c r="HP126" s="116"/>
      <c r="HQ126" s="116"/>
      <c r="HR126" s="116"/>
      <c r="HS126" s="116"/>
      <c r="HT126" s="116"/>
      <c r="HU126" s="116"/>
      <c r="HV126" s="116"/>
      <c r="HW126" s="116"/>
      <c r="HX126" s="116"/>
      <c r="HY126" s="116"/>
      <c r="HZ126" s="116"/>
      <c r="IA126" s="116"/>
      <c r="IB126" s="116"/>
      <c r="IC126" s="116"/>
      <c r="ID126" s="116"/>
      <c r="IE126" s="116"/>
      <c r="IF126" s="116"/>
      <c r="IG126" s="116"/>
      <c r="IH126" s="116"/>
      <c r="II126" s="116"/>
      <c r="IJ126" s="116"/>
      <c r="IK126" s="116"/>
      <c r="IL126" s="116"/>
      <c r="IM126" s="116"/>
      <c r="IN126" s="116"/>
      <c r="IO126" s="116"/>
      <c r="IP126" s="116"/>
      <c r="IQ126" s="116"/>
      <c r="IR126" s="116"/>
      <c r="IS126" s="116"/>
      <c r="IT126" s="116"/>
      <c r="IU126" s="116"/>
      <c r="IV126" s="116"/>
      <c r="IW126" s="116"/>
    </row>
    <row r="127" spans="2:260" x14ac:dyDescent="0.3">
      <c r="B127" s="103">
        <v>2</v>
      </c>
      <c r="C127" s="173">
        <f>+C126</f>
        <v>18550417.357223008</v>
      </c>
      <c r="D127" s="211">
        <f>+F126*$C$69</f>
        <v>10925361.619787194</v>
      </c>
      <c r="E127" s="173">
        <f t="shared" ref="E127:E130" si="26">+C127-D127</f>
        <v>7625055.737435814</v>
      </c>
      <c r="F127" s="211">
        <f>+F126-E127</f>
        <v>36269526.905341178</v>
      </c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/>
      <c r="BC127" s="116"/>
      <c r="BD127" s="116"/>
      <c r="BE127" s="116"/>
      <c r="BF127" s="116"/>
      <c r="BG127" s="116"/>
      <c r="BH127" s="116"/>
      <c r="BI127" s="116"/>
      <c r="BJ127" s="116"/>
      <c r="BK127" s="116"/>
      <c r="BL127" s="116"/>
      <c r="BM127" s="116"/>
      <c r="BN127" s="116"/>
      <c r="BO127" s="116"/>
      <c r="BP127" s="116"/>
      <c r="BQ127" s="116"/>
      <c r="BR127" s="116"/>
      <c r="BS127" s="116"/>
      <c r="BT127" s="116"/>
      <c r="BU127" s="116"/>
      <c r="BV127" s="116"/>
      <c r="BW127" s="116"/>
      <c r="BX127" s="116"/>
      <c r="BY127" s="116"/>
      <c r="BZ127" s="116"/>
      <c r="CA127" s="116"/>
      <c r="CB127" s="116"/>
      <c r="CC127" s="116"/>
      <c r="CD127" s="116"/>
      <c r="CE127" s="116"/>
      <c r="CF127" s="116"/>
      <c r="CG127" s="116"/>
      <c r="CH127" s="116"/>
      <c r="CI127" s="116"/>
      <c r="CJ127" s="116"/>
      <c r="CK127" s="116"/>
      <c r="CL127" s="116"/>
      <c r="CM127" s="116"/>
      <c r="CN127" s="116"/>
      <c r="CO127" s="116"/>
      <c r="CP127" s="116"/>
      <c r="CQ127" s="116"/>
      <c r="CR127" s="116"/>
      <c r="CS127" s="116"/>
      <c r="CT127" s="116"/>
      <c r="CU127" s="116"/>
      <c r="CV127" s="116"/>
      <c r="CW127" s="116"/>
      <c r="CX127" s="116"/>
      <c r="CY127" s="116"/>
      <c r="CZ127" s="116"/>
      <c r="DA127" s="116"/>
      <c r="DB127" s="116"/>
      <c r="DC127" s="116"/>
      <c r="DD127" s="116"/>
      <c r="DE127" s="116"/>
      <c r="DF127" s="116"/>
      <c r="DG127" s="116"/>
      <c r="DH127" s="116"/>
      <c r="DI127" s="116"/>
      <c r="DJ127" s="116"/>
      <c r="DK127" s="116"/>
      <c r="DL127" s="116"/>
      <c r="DM127" s="116"/>
      <c r="DN127" s="116"/>
      <c r="DO127" s="116"/>
      <c r="DP127" s="116"/>
      <c r="DQ127" s="116"/>
      <c r="DR127" s="116"/>
      <c r="DS127" s="116"/>
      <c r="DT127" s="116"/>
      <c r="DU127" s="116"/>
      <c r="DV127" s="116"/>
      <c r="DW127" s="116"/>
      <c r="DX127" s="116"/>
      <c r="DY127" s="116"/>
      <c r="DZ127" s="116"/>
      <c r="EA127" s="116"/>
      <c r="EB127" s="116"/>
      <c r="EC127" s="116"/>
      <c r="ED127" s="116"/>
      <c r="EE127" s="116"/>
      <c r="EF127" s="116"/>
      <c r="EG127" s="116"/>
      <c r="EH127" s="116"/>
      <c r="EI127" s="116"/>
      <c r="EJ127" s="116"/>
      <c r="EK127" s="116"/>
      <c r="EL127" s="116"/>
      <c r="EM127" s="116"/>
      <c r="EN127" s="116"/>
      <c r="EO127" s="116"/>
      <c r="EP127" s="116"/>
      <c r="EQ127" s="116"/>
      <c r="ER127" s="116"/>
      <c r="ES127" s="116"/>
      <c r="ET127" s="116"/>
      <c r="EU127" s="116"/>
      <c r="EV127" s="116"/>
      <c r="EW127" s="116"/>
      <c r="EX127" s="116"/>
      <c r="EY127" s="116"/>
      <c r="EZ127" s="116"/>
      <c r="FA127" s="116"/>
      <c r="FB127" s="116"/>
      <c r="FC127" s="116"/>
      <c r="FD127" s="116"/>
      <c r="FE127" s="116"/>
      <c r="FF127" s="116"/>
      <c r="FG127" s="116"/>
      <c r="FH127" s="116"/>
      <c r="FI127" s="116"/>
      <c r="FJ127" s="116"/>
      <c r="FK127" s="116"/>
      <c r="FL127" s="116"/>
      <c r="FM127" s="116"/>
      <c r="FN127" s="116"/>
      <c r="FO127" s="116"/>
      <c r="FP127" s="116"/>
      <c r="FQ127" s="116"/>
      <c r="FR127" s="116"/>
      <c r="FS127" s="116"/>
      <c r="FT127" s="116"/>
      <c r="FU127" s="116"/>
      <c r="FV127" s="116"/>
      <c r="FW127" s="116"/>
      <c r="FX127" s="116"/>
      <c r="FY127" s="116"/>
      <c r="FZ127" s="116"/>
      <c r="GA127" s="116"/>
      <c r="GB127" s="116"/>
      <c r="GC127" s="116"/>
      <c r="GD127" s="116"/>
      <c r="GE127" s="116"/>
      <c r="GF127" s="116"/>
      <c r="GG127" s="116"/>
      <c r="GH127" s="116"/>
      <c r="GI127" s="116"/>
      <c r="GJ127" s="116"/>
      <c r="GK127" s="116"/>
      <c r="GL127" s="116"/>
      <c r="GM127" s="116"/>
      <c r="GN127" s="116"/>
      <c r="GO127" s="116"/>
      <c r="GP127" s="116"/>
      <c r="GQ127" s="116"/>
      <c r="GR127" s="116"/>
      <c r="GS127" s="116"/>
      <c r="GT127" s="116"/>
      <c r="GU127" s="116"/>
      <c r="GV127" s="116"/>
      <c r="GW127" s="116"/>
      <c r="GX127" s="116"/>
      <c r="GY127" s="116"/>
      <c r="GZ127" s="116"/>
      <c r="HA127" s="116"/>
      <c r="HB127" s="116"/>
      <c r="HC127" s="116"/>
      <c r="HD127" s="116"/>
      <c r="HE127" s="116"/>
      <c r="HF127" s="116"/>
      <c r="HG127" s="116"/>
      <c r="HH127" s="116"/>
      <c r="HI127" s="116"/>
      <c r="HJ127" s="116"/>
      <c r="HK127" s="116"/>
      <c r="HL127" s="116"/>
      <c r="HM127" s="116"/>
      <c r="HN127" s="116"/>
      <c r="HO127" s="116"/>
      <c r="HP127" s="116"/>
      <c r="HQ127" s="116"/>
      <c r="HR127" s="116"/>
      <c r="HS127" s="116"/>
      <c r="HT127" s="116"/>
      <c r="HU127" s="116"/>
      <c r="HV127" s="116"/>
      <c r="HW127" s="116"/>
      <c r="HX127" s="116"/>
      <c r="HY127" s="116"/>
      <c r="HZ127" s="116"/>
      <c r="IA127" s="116"/>
      <c r="IB127" s="116"/>
      <c r="IC127" s="116"/>
      <c r="ID127" s="116"/>
      <c r="IE127" s="116"/>
      <c r="IF127" s="116"/>
      <c r="IG127" s="116"/>
      <c r="IH127" s="116"/>
      <c r="II127" s="116"/>
      <c r="IJ127" s="116"/>
      <c r="IK127" s="116"/>
      <c r="IL127" s="116"/>
      <c r="IM127" s="116"/>
      <c r="IN127" s="116"/>
      <c r="IO127" s="116"/>
      <c r="IP127" s="116"/>
      <c r="IQ127" s="116"/>
      <c r="IR127" s="116"/>
      <c r="IS127" s="116"/>
      <c r="IT127" s="116"/>
      <c r="IU127" s="116"/>
      <c r="IV127" s="116"/>
      <c r="IW127" s="116"/>
    </row>
    <row r="128" spans="2:260" x14ac:dyDescent="0.3">
      <c r="B128" s="103">
        <v>3</v>
      </c>
      <c r="C128" s="173">
        <f t="shared" ref="C128:C130" si="27">+C127</f>
        <v>18550417.357223008</v>
      </c>
      <c r="D128" s="211">
        <f t="shared" ref="D128:D129" si="28">+F127*$C$69</f>
        <v>9027485.2467394192</v>
      </c>
      <c r="E128" s="173">
        <f t="shared" si="26"/>
        <v>9522932.1104835887</v>
      </c>
      <c r="F128" s="211">
        <f t="shared" ref="F128:F130" si="29">+F127-E128</f>
        <v>26746594.794857591</v>
      </c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16"/>
      <c r="BE128" s="116"/>
      <c r="BF128" s="116"/>
      <c r="BG128" s="116"/>
      <c r="BH128" s="116"/>
      <c r="BI128" s="116"/>
      <c r="BJ128" s="116"/>
      <c r="BK128" s="116"/>
      <c r="BL128" s="116"/>
      <c r="BM128" s="116"/>
      <c r="BN128" s="116"/>
      <c r="BO128" s="116"/>
      <c r="BP128" s="116"/>
      <c r="BQ128" s="116"/>
      <c r="BR128" s="116"/>
      <c r="BS128" s="116"/>
      <c r="BT128" s="116"/>
      <c r="BU128" s="116"/>
      <c r="BV128" s="116"/>
      <c r="BW128" s="116"/>
      <c r="BX128" s="116"/>
      <c r="BY128" s="116"/>
      <c r="BZ128" s="116"/>
      <c r="CA128" s="116"/>
      <c r="CB128" s="116"/>
      <c r="CC128" s="116"/>
      <c r="CD128" s="116"/>
      <c r="CE128" s="116"/>
      <c r="CF128" s="116"/>
      <c r="CG128" s="116"/>
      <c r="CH128" s="116"/>
      <c r="CI128" s="116"/>
      <c r="CJ128" s="116"/>
      <c r="CK128" s="116"/>
      <c r="CL128" s="116"/>
      <c r="CM128" s="116"/>
      <c r="CN128" s="116"/>
      <c r="CO128" s="116"/>
      <c r="CP128" s="116"/>
      <c r="CQ128" s="116"/>
      <c r="CR128" s="116"/>
      <c r="CS128" s="116"/>
      <c r="CT128" s="116"/>
      <c r="CU128" s="116"/>
      <c r="CV128" s="116"/>
      <c r="CW128" s="116"/>
      <c r="CX128" s="116"/>
      <c r="CY128" s="116"/>
      <c r="CZ128" s="116"/>
      <c r="DA128" s="116"/>
      <c r="DB128" s="116"/>
      <c r="DC128" s="116"/>
      <c r="DD128" s="116"/>
      <c r="DE128" s="116"/>
      <c r="DF128" s="116"/>
      <c r="DG128" s="116"/>
      <c r="DH128" s="116"/>
      <c r="DI128" s="116"/>
      <c r="DJ128" s="116"/>
      <c r="DK128" s="116"/>
      <c r="DL128" s="116"/>
      <c r="DM128" s="116"/>
      <c r="DN128" s="116"/>
      <c r="DO128" s="116"/>
      <c r="DP128" s="116"/>
      <c r="DQ128" s="116"/>
      <c r="DR128" s="116"/>
      <c r="DS128" s="116"/>
      <c r="DT128" s="116"/>
      <c r="DU128" s="116"/>
      <c r="DV128" s="116"/>
      <c r="DW128" s="116"/>
      <c r="DX128" s="116"/>
      <c r="DY128" s="116"/>
      <c r="DZ128" s="116"/>
      <c r="EA128" s="116"/>
      <c r="EB128" s="116"/>
      <c r="EC128" s="116"/>
      <c r="ED128" s="116"/>
      <c r="EE128" s="116"/>
      <c r="EF128" s="116"/>
      <c r="EG128" s="116"/>
      <c r="EH128" s="116"/>
      <c r="EI128" s="116"/>
      <c r="EJ128" s="116"/>
      <c r="EK128" s="116"/>
      <c r="EL128" s="116"/>
      <c r="EM128" s="116"/>
      <c r="EN128" s="116"/>
      <c r="EO128" s="116"/>
      <c r="EP128" s="116"/>
      <c r="EQ128" s="116"/>
      <c r="ER128" s="116"/>
      <c r="ES128" s="116"/>
      <c r="ET128" s="116"/>
      <c r="EU128" s="116"/>
      <c r="EV128" s="116"/>
      <c r="EW128" s="116"/>
      <c r="EX128" s="116"/>
      <c r="EY128" s="116"/>
      <c r="EZ128" s="116"/>
      <c r="FA128" s="116"/>
      <c r="FB128" s="116"/>
      <c r="FC128" s="116"/>
      <c r="FD128" s="116"/>
      <c r="FE128" s="116"/>
      <c r="FF128" s="116"/>
      <c r="FG128" s="116"/>
      <c r="FH128" s="116"/>
      <c r="FI128" s="116"/>
      <c r="FJ128" s="116"/>
      <c r="FK128" s="116"/>
      <c r="FL128" s="116"/>
      <c r="FM128" s="116"/>
      <c r="FN128" s="116"/>
      <c r="FO128" s="116"/>
      <c r="FP128" s="116"/>
      <c r="FQ128" s="116"/>
      <c r="FR128" s="116"/>
      <c r="FS128" s="116"/>
      <c r="FT128" s="116"/>
      <c r="FU128" s="116"/>
      <c r="FV128" s="116"/>
      <c r="FW128" s="116"/>
      <c r="FX128" s="116"/>
      <c r="FY128" s="116"/>
      <c r="FZ128" s="116"/>
      <c r="GA128" s="116"/>
      <c r="GB128" s="116"/>
      <c r="GC128" s="116"/>
      <c r="GD128" s="116"/>
      <c r="GE128" s="116"/>
      <c r="GF128" s="116"/>
      <c r="GG128" s="116"/>
      <c r="GH128" s="116"/>
      <c r="GI128" s="116"/>
      <c r="GJ128" s="116"/>
      <c r="GK128" s="116"/>
      <c r="GL128" s="116"/>
      <c r="GM128" s="116"/>
      <c r="GN128" s="116"/>
      <c r="GO128" s="116"/>
      <c r="GP128" s="116"/>
      <c r="GQ128" s="116"/>
      <c r="GR128" s="116"/>
      <c r="GS128" s="116"/>
      <c r="GT128" s="116"/>
      <c r="GU128" s="116"/>
      <c r="GV128" s="116"/>
      <c r="GW128" s="116"/>
      <c r="GX128" s="116"/>
      <c r="GY128" s="116"/>
      <c r="GZ128" s="116"/>
      <c r="HA128" s="116"/>
      <c r="HB128" s="116"/>
      <c r="HC128" s="116"/>
      <c r="HD128" s="116"/>
      <c r="HE128" s="116"/>
      <c r="HF128" s="116"/>
      <c r="HG128" s="116"/>
      <c r="HH128" s="116"/>
      <c r="HI128" s="116"/>
      <c r="HJ128" s="116"/>
      <c r="HK128" s="116"/>
      <c r="HL128" s="116"/>
      <c r="HM128" s="116"/>
      <c r="HN128" s="116"/>
      <c r="HO128" s="116"/>
      <c r="HP128" s="116"/>
      <c r="HQ128" s="116"/>
      <c r="HR128" s="116"/>
      <c r="HS128" s="116"/>
      <c r="HT128" s="116"/>
      <c r="HU128" s="116"/>
      <c r="HV128" s="116"/>
      <c r="HW128" s="116"/>
      <c r="HX128" s="116"/>
      <c r="HY128" s="116"/>
      <c r="HZ128" s="116"/>
      <c r="IA128" s="116"/>
      <c r="IB128" s="116"/>
      <c r="IC128" s="116"/>
      <c r="ID128" s="116"/>
      <c r="IE128" s="116"/>
      <c r="IF128" s="116"/>
      <c r="IG128" s="116"/>
      <c r="IH128" s="116"/>
      <c r="II128" s="116"/>
      <c r="IJ128" s="116"/>
      <c r="IK128" s="116"/>
      <c r="IL128" s="116"/>
      <c r="IM128" s="116"/>
      <c r="IN128" s="116"/>
      <c r="IO128" s="116"/>
      <c r="IP128" s="116"/>
      <c r="IQ128" s="116"/>
      <c r="IR128" s="116"/>
      <c r="IS128" s="116"/>
      <c r="IT128" s="116"/>
      <c r="IU128" s="116"/>
      <c r="IV128" s="116"/>
      <c r="IW128" s="116"/>
    </row>
    <row r="129" spans="1:260" x14ac:dyDescent="0.3">
      <c r="B129" s="103">
        <v>4</v>
      </c>
      <c r="C129" s="173">
        <f t="shared" si="27"/>
        <v>18550417.357223008</v>
      </c>
      <c r="D129" s="211">
        <f t="shared" si="28"/>
        <v>6657227.4444400547</v>
      </c>
      <c r="E129" s="173">
        <f t="shared" si="26"/>
        <v>11893189.912782952</v>
      </c>
      <c r="F129" s="211">
        <f t="shared" si="29"/>
        <v>14853404.882074639</v>
      </c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6"/>
      <c r="AZ129" s="116"/>
      <c r="BA129" s="116"/>
      <c r="BB129" s="116"/>
      <c r="BC129" s="116"/>
      <c r="BD129" s="116"/>
      <c r="BE129" s="116"/>
      <c r="BF129" s="116"/>
      <c r="BG129" s="116"/>
      <c r="BH129" s="116"/>
      <c r="BI129" s="116"/>
      <c r="BJ129" s="116"/>
      <c r="BK129" s="116"/>
      <c r="BL129" s="116"/>
      <c r="BM129" s="116"/>
      <c r="BN129" s="116"/>
      <c r="BO129" s="116"/>
      <c r="BP129" s="116"/>
      <c r="BQ129" s="116"/>
      <c r="BR129" s="116"/>
      <c r="BS129" s="116"/>
      <c r="BT129" s="116"/>
      <c r="BU129" s="116"/>
      <c r="BV129" s="116"/>
      <c r="BW129" s="116"/>
      <c r="BX129" s="116"/>
      <c r="BY129" s="116"/>
      <c r="BZ129" s="116"/>
      <c r="CA129" s="116"/>
      <c r="CB129" s="116"/>
      <c r="CC129" s="116"/>
      <c r="CD129" s="116"/>
      <c r="CE129" s="116"/>
      <c r="CF129" s="116"/>
      <c r="CG129" s="116"/>
      <c r="CH129" s="116"/>
      <c r="CI129" s="116"/>
      <c r="CJ129" s="116"/>
      <c r="CK129" s="116"/>
      <c r="CL129" s="116"/>
      <c r="CM129" s="116"/>
      <c r="CN129" s="116"/>
      <c r="CO129" s="116"/>
      <c r="CP129" s="116"/>
      <c r="CQ129" s="116"/>
      <c r="CR129" s="116"/>
      <c r="CS129" s="116"/>
      <c r="CT129" s="116"/>
      <c r="CU129" s="116"/>
      <c r="CV129" s="116"/>
      <c r="CW129" s="116"/>
      <c r="CX129" s="116"/>
      <c r="CY129" s="116"/>
      <c r="CZ129" s="116"/>
      <c r="DA129" s="116"/>
      <c r="DB129" s="116"/>
      <c r="DC129" s="116"/>
      <c r="DD129" s="116"/>
      <c r="DE129" s="116"/>
      <c r="DF129" s="116"/>
      <c r="DG129" s="116"/>
      <c r="DH129" s="116"/>
      <c r="DI129" s="116"/>
      <c r="DJ129" s="116"/>
      <c r="DK129" s="116"/>
      <c r="DL129" s="116"/>
      <c r="DM129" s="116"/>
      <c r="DN129" s="116"/>
      <c r="DO129" s="116"/>
      <c r="DP129" s="116"/>
      <c r="DQ129" s="116"/>
      <c r="DR129" s="116"/>
      <c r="DS129" s="116"/>
      <c r="DT129" s="116"/>
      <c r="DU129" s="116"/>
      <c r="DV129" s="116"/>
      <c r="DW129" s="116"/>
      <c r="DX129" s="116"/>
      <c r="DY129" s="116"/>
      <c r="DZ129" s="116"/>
      <c r="EA129" s="116"/>
      <c r="EB129" s="116"/>
      <c r="EC129" s="116"/>
      <c r="ED129" s="116"/>
      <c r="EE129" s="116"/>
      <c r="EF129" s="116"/>
      <c r="EG129" s="116"/>
      <c r="EH129" s="116"/>
      <c r="EI129" s="116"/>
      <c r="EJ129" s="116"/>
      <c r="EK129" s="116"/>
      <c r="EL129" s="116"/>
      <c r="EM129" s="116"/>
      <c r="EN129" s="116"/>
      <c r="EO129" s="116"/>
      <c r="EP129" s="116"/>
      <c r="EQ129" s="116"/>
      <c r="ER129" s="116"/>
      <c r="ES129" s="116"/>
      <c r="ET129" s="116"/>
      <c r="EU129" s="116"/>
      <c r="EV129" s="116"/>
      <c r="EW129" s="116"/>
      <c r="EX129" s="116"/>
      <c r="EY129" s="116"/>
      <c r="EZ129" s="116"/>
      <c r="FA129" s="116"/>
      <c r="FB129" s="116"/>
      <c r="FC129" s="116"/>
      <c r="FD129" s="116"/>
      <c r="FE129" s="116"/>
      <c r="FF129" s="116"/>
      <c r="FG129" s="116"/>
      <c r="FH129" s="116"/>
      <c r="FI129" s="116"/>
      <c r="FJ129" s="116"/>
      <c r="FK129" s="116"/>
      <c r="FL129" s="116"/>
      <c r="FM129" s="116"/>
      <c r="FN129" s="116"/>
      <c r="FO129" s="116"/>
      <c r="FP129" s="116"/>
      <c r="FQ129" s="116"/>
      <c r="FR129" s="116"/>
      <c r="FS129" s="116"/>
      <c r="FT129" s="116"/>
      <c r="FU129" s="116"/>
      <c r="FV129" s="116"/>
      <c r="FW129" s="116"/>
      <c r="FX129" s="116"/>
      <c r="FY129" s="116"/>
      <c r="FZ129" s="116"/>
      <c r="GA129" s="116"/>
      <c r="GB129" s="116"/>
      <c r="GC129" s="116"/>
      <c r="GD129" s="116"/>
      <c r="GE129" s="116"/>
      <c r="GF129" s="116"/>
      <c r="GG129" s="116"/>
      <c r="GH129" s="116"/>
      <c r="GI129" s="116"/>
      <c r="GJ129" s="116"/>
      <c r="GK129" s="116"/>
      <c r="GL129" s="116"/>
      <c r="GM129" s="116"/>
      <c r="GN129" s="116"/>
      <c r="GO129" s="116"/>
      <c r="GP129" s="116"/>
      <c r="GQ129" s="116"/>
      <c r="GR129" s="116"/>
      <c r="GS129" s="116"/>
      <c r="GT129" s="116"/>
      <c r="GU129" s="116"/>
      <c r="GV129" s="116"/>
      <c r="GW129" s="116"/>
      <c r="GX129" s="116"/>
      <c r="GY129" s="116"/>
      <c r="GZ129" s="116"/>
      <c r="HA129" s="116"/>
      <c r="HB129" s="116"/>
      <c r="HC129" s="116"/>
      <c r="HD129" s="116"/>
      <c r="HE129" s="116"/>
      <c r="HF129" s="116"/>
      <c r="HG129" s="116"/>
      <c r="HH129" s="116"/>
      <c r="HI129" s="116"/>
      <c r="HJ129" s="116"/>
      <c r="HK129" s="116"/>
      <c r="HL129" s="116"/>
      <c r="HM129" s="116"/>
      <c r="HN129" s="116"/>
      <c r="HO129" s="116"/>
      <c r="HP129" s="116"/>
      <c r="HQ129" s="116"/>
      <c r="HR129" s="116"/>
      <c r="HS129" s="116"/>
      <c r="HT129" s="116"/>
      <c r="HU129" s="116"/>
      <c r="HV129" s="116"/>
      <c r="HW129" s="116"/>
      <c r="HX129" s="116"/>
      <c r="HY129" s="116"/>
      <c r="HZ129" s="116"/>
      <c r="IA129" s="116"/>
      <c r="IB129" s="116"/>
      <c r="IC129" s="116"/>
      <c r="ID129" s="116"/>
      <c r="IE129" s="116"/>
      <c r="IF129" s="116"/>
      <c r="IG129" s="116"/>
      <c r="IH129" s="116"/>
      <c r="II129" s="116"/>
      <c r="IJ129" s="116"/>
      <c r="IK129" s="116"/>
      <c r="IL129" s="116"/>
      <c r="IM129" s="116"/>
      <c r="IN129" s="116"/>
      <c r="IO129" s="116"/>
      <c r="IP129" s="116"/>
      <c r="IQ129" s="116"/>
      <c r="IR129" s="116"/>
      <c r="IS129" s="116"/>
      <c r="IT129" s="116"/>
      <c r="IU129" s="116"/>
      <c r="IV129" s="116"/>
      <c r="IW129" s="116"/>
    </row>
    <row r="130" spans="1:260" x14ac:dyDescent="0.3">
      <c r="B130" s="137">
        <v>5</v>
      </c>
      <c r="C130" s="173">
        <f t="shared" si="27"/>
        <v>18550417.357223008</v>
      </c>
      <c r="D130" s="211">
        <f>+F129*$C$69</f>
        <v>3697012.4751483779</v>
      </c>
      <c r="E130" s="173">
        <f t="shared" si="26"/>
        <v>14853404.88207463</v>
      </c>
      <c r="F130" s="211">
        <f t="shared" si="29"/>
        <v>0</v>
      </c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  <c r="AV130" s="116"/>
      <c r="AW130" s="116"/>
      <c r="AX130" s="116"/>
      <c r="AY130" s="116"/>
      <c r="AZ130" s="116"/>
      <c r="BA130" s="116"/>
      <c r="BB130" s="116"/>
      <c r="BC130" s="116"/>
      <c r="BD130" s="116"/>
      <c r="BE130" s="116"/>
      <c r="BF130" s="116"/>
      <c r="BG130" s="116"/>
      <c r="BH130" s="116"/>
      <c r="BI130" s="116"/>
      <c r="BJ130" s="116"/>
      <c r="BK130" s="116"/>
      <c r="BL130" s="116"/>
      <c r="BM130" s="116"/>
      <c r="BN130" s="116"/>
      <c r="BO130" s="116"/>
      <c r="BP130" s="116"/>
      <c r="BQ130" s="116"/>
      <c r="BR130" s="116"/>
      <c r="BS130" s="116"/>
      <c r="BT130" s="116"/>
      <c r="BU130" s="116"/>
      <c r="BV130" s="116"/>
      <c r="BW130" s="116"/>
      <c r="BX130" s="116"/>
      <c r="BY130" s="116"/>
      <c r="BZ130" s="116"/>
      <c r="CA130" s="116"/>
      <c r="CB130" s="116"/>
      <c r="CC130" s="116"/>
      <c r="CD130" s="116"/>
      <c r="CE130" s="116"/>
      <c r="CF130" s="116"/>
      <c r="CG130" s="116"/>
      <c r="CH130" s="116"/>
      <c r="CI130" s="116"/>
      <c r="CJ130" s="116"/>
      <c r="CK130" s="116"/>
      <c r="CL130" s="116"/>
      <c r="CM130" s="116"/>
      <c r="CN130" s="116"/>
      <c r="CO130" s="116"/>
      <c r="CP130" s="116"/>
      <c r="CQ130" s="116"/>
      <c r="CR130" s="116"/>
      <c r="CS130" s="116"/>
      <c r="CT130" s="116"/>
      <c r="CU130" s="116"/>
      <c r="CV130" s="116"/>
      <c r="CW130" s="116"/>
      <c r="CX130" s="116"/>
      <c r="CY130" s="116"/>
      <c r="CZ130" s="116"/>
      <c r="DA130" s="116"/>
      <c r="DB130" s="116"/>
      <c r="DC130" s="116"/>
      <c r="DD130" s="116"/>
      <c r="DE130" s="116"/>
      <c r="DF130" s="116"/>
      <c r="DG130" s="116"/>
      <c r="DH130" s="116"/>
      <c r="DI130" s="116"/>
      <c r="DJ130" s="116"/>
      <c r="DK130" s="116"/>
      <c r="DL130" s="116"/>
      <c r="DM130" s="116"/>
      <c r="DN130" s="116"/>
      <c r="DO130" s="116"/>
      <c r="DP130" s="116"/>
      <c r="DQ130" s="116"/>
      <c r="DR130" s="116"/>
      <c r="DS130" s="116"/>
      <c r="DT130" s="116"/>
      <c r="DU130" s="116"/>
      <c r="DV130" s="116"/>
      <c r="DW130" s="116"/>
      <c r="DX130" s="116"/>
      <c r="DY130" s="116"/>
      <c r="DZ130" s="116"/>
      <c r="EA130" s="116"/>
      <c r="EB130" s="116"/>
      <c r="EC130" s="116"/>
      <c r="ED130" s="116"/>
      <c r="EE130" s="116"/>
      <c r="EF130" s="116"/>
      <c r="EG130" s="116"/>
      <c r="EH130" s="116"/>
      <c r="EI130" s="116"/>
      <c r="EJ130" s="116"/>
      <c r="EK130" s="116"/>
      <c r="EL130" s="116"/>
      <c r="EM130" s="116"/>
      <c r="EN130" s="116"/>
      <c r="EO130" s="116"/>
      <c r="EP130" s="116"/>
      <c r="EQ130" s="116"/>
      <c r="ER130" s="116"/>
      <c r="ES130" s="116"/>
      <c r="ET130" s="116"/>
      <c r="EU130" s="116"/>
      <c r="EV130" s="116"/>
      <c r="EW130" s="116"/>
      <c r="EX130" s="116"/>
      <c r="EY130" s="116"/>
      <c r="EZ130" s="116"/>
      <c r="FA130" s="116"/>
      <c r="FB130" s="116"/>
      <c r="FC130" s="116"/>
      <c r="FD130" s="116"/>
      <c r="FE130" s="116"/>
      <c r="FF130" s="116"/>
      <c r="FG130" s="116"/>
      <c r="FH130" s="116"/>
      <c r="FI130" s="116"/>
      <c r="FJ130" s="116"/>
      <c r="FK130" s="116"/>
      <c r="FL130" s="116"/>
      <c r="FM130" s="116"/>
      <c r="FN130" s="116"/>
      <c r="FO130" s="116"/>
      <c r="FP130" s="116"/>
      <c r="FQ130" s="116"/>
      <c r="FR130" s="116"/>
      <c r="FS130" s="116"/>
      <c r="FT130" s="116"/>
      <c r="FU130" s="116"/>
      <c r="FV130" s="116"/>
      <c r="FW130" s="116"/>
      <c r="FX130" s="116"/>
      <c r="FY130" s="116"/>
      <c r="FZ130" s="116"/>
      <c r="GA130" s="116"/>
      <c r="GB130" s="116"/>
      <c r="GC130" s="116"/>
      <c r="GD130" s="116"/>
      <c r="GE130" s="116"/>
      <c r="GF130" s="116"/>
      <c r="GG130" s="116"/>
      <c r="GH130" s="116"/>
      <c r="GI130" s="116"/>
      <c r="GJ130" s="116"/>
      <c r="GK130" s="116"/>
      <c r="GL130" s="116"/>
      <c r="GM130" s="116"/>
      <c r="GN130" s="116"/>
      <c r="GO130" s="116"/>
      <c r="GP130" s="116"/>
      <c r="GQ130" s="116"/>
      <c r="GR130" s="116"/>
      <c r="GS130" s="116"/>
      <c r="GT130" s="116"/>
      <c r="GU130" s="116"/>
      <c r="GV130" s="116"/>
      <c r="GW130" s="116"/>
      <c r="GX130" s="116"/>
      <c r="GY130" s="116"/>
      <c r="GZ130" s="116"/>
      <c r="HA130" s="116"/>
      <c r="HB130" s="116"/>
      <c r="HC130" s="116"/>
      <c r="HD130" s="116"/>
      <c r="HE130" s="116"/>
      <c r="HF130" s="116"/>
      <c r="HG130" s="116"/>
      <c r="HH130" s="116"/>
      <c r="HI130" s="116"/>
      <c r="HJ130" s="116"/>
      <c r="HK130" s="116"/>
      <c r="HL130" s="116"/>
      <c r="HM130" s="116"/>
      <c r="HN130" s="116"/>
      <c r="HO130" s="116"/>
      <c r="HP130" s="116"/>
      <c r="HQ130" s="116"/>
      <c r="HR130" s="116"/>
      <c r="HS130" s="116"/>
      <c r="HT130" s="116"/>
      <c r="HU130" s="116"/>
      <c r="HV130" s="116"/>
      <c r="HW130" s="116"/>
      <c r="HX130" s="116"/>
      <c r="HY130" s="116"/>
      <c r="HZ130" s="116"/>
      <c r="IA130" s="116"/>
      <c r="IB130" s="116"/>
      <c r="IC130" s="116"/>
      <c r="ID130" s="116"/>
      <c r="IE130" s="116"/>
      <c r="IF130" s="116"/>
      <c r="IG130" s="116"/>
      <c r="IH130" s="116"/>
      <c r="II130" s="116"/>
      <c r="IJ130" s="116"/>
      <c r="IK130" s="116"/>
      <c r="IL130" s="116"/>
      <c r="IM130" s="116"/>
      <c r="IN130" s="116"/>
      <c r="IO130" s="116"/>
      <c r="IP130" s="116"/>
      <c r="IQ130" s="116"/>
      <c r="IR130" s="116"/>
      <c r="IS130" s="116"/>
      <c r="IT130" s="116"/>
      <c r="IU130" s="116"/>
      <c r="IV130" s="116"/>
      <c r="IW130" s="116"/>
    </row>
    <row r="131" spans="1:260" x14ac:dyDescent="0.3">
      <c r="B131" s="135"/>
      <c r="C131" s="135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  <c r="AU131" s="116"/>
      <c r="AV131" s="116"/>
      <c r="AW131" s="116"/>
      <c r="AX131" s="116"/>
      <c r="AY131" s="116"/>
      <c r="AZ131" s="116"/>
      <c r="BA131" s="116"/>
      <c r="BB131" s="116"/>
      <c r="BC131" s="116"/>
      <c r="BD131" s="116"/>
      <c r="BE131" s="116"/>
      <c r="BF131" s="116"/>
      <c r="BG131" s="116"/>
      <c r="BH131" s="116"/>
      <c r="BI131" s="116"/>
      <c r="BJ131" s="116"/>
      <c r="BK131" s="116"/>
      <c r="BL131" s="116"/>
      <c r="BM131" s="116"/>
      <c r="BN131" s="116"/>
      <c r="BO131" s="116"/>
      <c r="BP131" s="116"/>
      <c r="BQ131" s="116"/>
      <c r="BR131" s="116"/>
      <c r="BS131" s="116"/>
      <c r="BT131" s="116"/>
      <c r="BU131" s="116"/>
      <c r="BV131" s="116"/>
      <c r="BW131" s="116"/>
      <c r="BX131" s="116"/>
      <c r="BY131" s="116"/>
      <c r="BZ131" s="116"/>
      <c r="CA131" s="116"/>
      <c r="CB131" s="116"/>
      <c r="CC131" s="116"/>
      <c r="CD131" s="116"/>
      <c r="CE131" s="116"/>
      <c r="CF131" s="116"/>
      <c r="CG131" s="116"/>
      <c r="CH131" s="116"/>
      <c r="CI131" s="116"/>
      <c r="CJ131" s="116"/>
      <c r="CK131" s="116"/>
      <c r="CL131" s="116"/>
      <c r="CM131" s="116"/>
      <c r="CN131" s="116"/>
      <c r="CO131" s="116"/>
      <c r="CP131" s="116"/>
      <c r="CQ131" s="116"/>
      <c r="CR131" s="116"/>
      <c r="CS131" s="116"/>
      <c r="CT131" s="116"/>
      <c r="CU131" s="116"/>
      <c r="CV131" s="116"/>
      <c r="CW131" s="116"/>
      <c r="CX131" s="116"/>
      <c r="CY131" s="116"/>
      <c r="CZ131" s="116"/>
      <c r="DA131" s="116"/>
      <c r="DB131" s="116"/>
      <c r="DC131" s="116"/>
      <c r="DD131" s="116"/>
      <c r="DE131" s="116"/>
      <c r="DF131" s="116"/>
      <c r="DG131" s="116"/>
      <c r="DH131" s="116"/>
      <c r="DI131" s="116"/>
      <c r="DJ131" s="116"/>
      <c r="DK131" s="116"/>
      <c r="DL131" s="116"/>
      <c r="DM131" s="116"/>
      <c r="DN131" s="116"/>
      <c r="DO131" s="116"/>
      <c r="DP131" s="116"/>
      <c r="DQ131" s="116"/>
      <c r="DR131" s="116"/>
      <c r="DS131" s="116"/>
      <c r="DT131" s="116"/>
      <c r="DU131" s="116"/>
      <c r="DV131" s="116"/>
      <c r="DW131" s="116"/>
      <c r="DX131" s="116"/>
      <c r="DY131" s="116"/>
      <c r="DZ131" s="116"/>
      <c r="EA131" s="116"/>
      <c r="EB131" s="116"/>
      <c r="EC131" s="116"/>
      <c r="ED131" s="116"/>
      <c r="EE131" s="116"/>
      <c r="EF131" s="116"/>
      <c r="EG131" s="116"/>
      <c r="EH131" s="116"/>
      <c r="EI131" s="116"/>
      <c r="EJ131" s="116"/>
      <c r="EK131" s="116"/>
      <c r="EL131" s="116"/>
      <c r="EM131" s="116"/>
      <c r="EN131" s="116"/>
      <c r="EO131" s="116"/>
      <c r="EP131" s="116"/>
      <c r="EQ131" s="116"/>
      <c r="ER131" s="116"/>
      <c r="ES131" s="116"/>
      <c r="ET131" s="116"/>
      <c r="EU131" s="116"/>
      <c r="EV131" s="116"/>
      <c r="EW131" s="116"/>
      <c r="EX131" s="116"/>
      <c r="EY131" s="116"/>
      <c r="EZ131" s="116"/>
      <c r="FA131" s="116"/>
      <c r="FB131" s="116"/>
      <c r="FC131" s="116"/>
      <c r="FD131" s="116"/>
      <c r="FE131" s="116"/>
      <c r="FF131" s="116"/>
      <c r="FG131" s="116"/>
      <c r="FH131" s="116"/>
      <c r="FI131" s="116"/>
      <c r="FJ131" s="116"/>
      <c r="FK131" s="116"/>
      <c r="FL131" s="116"/>
      <c r="FM131" s="116"/>
      <c r="FN131" s="116"/>
      <c r="FO131" s="116"/>
      <c r="FP131" s="116"/>
      <c r="FQ131" s="116"/>
      <c r="FR131" s="116"/>
      <c r="FS131" s="116"/>
      <c r="FT131" s="116"/>
      <c r="FU131" s="116"/>
      <c r="FV131" s="116"/>
      <c r="FW131" s="116"/>
      <c r="FX131" s="116"/>
      <c r="FY131" s="116"/>
      <c r="FZ131" s="116"/>
      <c r="GA131" s="116"/>
      <c r="GB131" s="116"/>
      <c r="GC131" s="116"/>
      <c r="GD131" s="116"/>
      <c r="GE131" s="116"/>
      <c r="GF131" s="116"/>
      <c r="GG131" s="116"/>
      <c r="GH131" s="116"/>
      <c r="GI131" s="116"/>
      <c r="GJ131" s="116"/>
      <c r="GK131" s="116"/>
      <c r="GL131" s="116"/>
      <c r="GM131" s="116"/>
      <c r="GN131" s="116"/>
      <c r="GO131" s="116"/>
      <c r="GP131" s="116"/>
      <c r="GQ131" s="116"/>
      <c r="GR131" s="116"/>
      <c r="GS131" s="116"/>
      <c r="GT131" s="116"/>
      <c r="GU131" s="116"/>
      <c r="GV131" s="116"/>
      <c r="GW131" s="116"/>
      <c r="GX131" s="116"/>
      <c r="GY131" s="116"/>
      <c r="GZ131" s="116"/>
      <c r="HA131" s="116"/>
      <c r="HB131" s="116"/>
      <c r="HC131" s="116"/>
      <c r="HD131" s="116"/>
      <c r="HE131" s="116"/>
      <c r="HF131" s="116"/>
      <c r="HG131" s="116"/>
      <c r="HH131" s="116"/>
      <c r="HI131" s="116"/>
      <c r="HJ131" s="116"/>
      <c r="HK131" s="116"/>
      <c r="HL131" s="116"/>
      <c r="HM131" s="116"/>
      <c r="HN131" s="116"/>
      <c r="HO131" s="116"/>
      <c r="HP131" s="116"/>
      <c r="HQ131" s="116"/>
      <c r="HR131" s="116"/>
      <c r="HS131" s="116"/>
      <c r="HT131" s="116"/>
      <c r="HU131" s="116"/>
      <c r="HV131" s="116"/>
      <c r="HW131" s="116"/>
      <c r="HX131" s="116"/>
      <c r="HY131" s="116"/>
      <c r="HZ131" s="116"/>
      <c r="IA131" s="116"/>
      <c r="IB131" s="116"/>
      <c r="IC131" s="116"/>
      <c r="ID131" s="116"/>
      <c r="IE131" s="116"/>
      <c r="IF131" s="116"/>
      <c r="IG131" s="116"/>
      <c r="IH131" s="116"/>
      <c r="II131" s="116"/>
      <c r="IJ131" s="116"/>
      <c r="IK131" s="116"/>
      <c r="IL131" s="116"/>
      <c r="IM131" s="116"/>
      <c r="IN131" s="116"/>
      <c r="IO131" s="116"/>
      <c r="IP131" s="116"/>
      <c r="IQ131" s="116"/>
      <c r="IR131" s="116"/>
      <c r="IS131" s="116"/>
      <c r="IT131" s="116"/>
      <c r="IU131" s="116"/>
      <c r="IV131" s="116"/>
      <c r="IW131" s="116"/>
    </row>
    <row r="132" spans="1:260" x14ac:dyDescent="0.3">
      <c r="B132" s="373" t="s">
        <v>237</v>
      </c>
      <c r="C132" s="373"/>
      <c r="D132" s="373"/>
      <c r="E132" s="373"/>
      <c r="F132" s="373"/>
      <c r="G132" s="373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6"/>
      <c r="AU132" s="116"/>
      <c r="AV132" s="116"/>
      <c r="AW132" s="116"/>
      <c r="AX132" s="116"/>
      <c r="AY132" s="116"/>
      <c r="AZ132" s="116"/>
      <c r="BA132" s="116"/>
      <c r="BB132" s="116"/>
      <c r="BC132" s="116"/>
      <c r="BD132" s="116"/>
      <c r="BE132" s="116"/>
      <c r="BF132" s="116"/>
      <c r="BG132" s="116"/>
      <c r="BH132" s="116"/>
      <c r="BI132" s="116"/>
      <c r="BJ132" s="116"/>
      <c r="BK132" s="116"/>
      <c r="BL132" s="116"/>
      <c r="BM132" s="116"/>
      <c r="BN132" s="116"/>
      <c r="BO132" s="116"/>
      <c r="BP132" s="116"/>
      <c r="BQ132" s="116"/>
      <c r="BR132" s="116"/>
      <c r="BS132" s="116"/>
      <c r="BT132" s="116"/>
      <c r="BU132" s="116"/>
      <c r="BV132" s="116"/>
      <c r="BW132" s="116"/>
      <c r="BX132" s="116"/>
      <c r="BY132" s="116"/>
      <c r="BZ132" s="116"/>
      <c r="CA132" s="116"/>
      <c r="CB132" s="116"/>
      <c r="CC132" s="116"/>
      <c r="CD132" s="116"/>
      <c r="CE132" s="116"/>
      <c r="CF132" s="116"/>
      <c r="CG132" s="116"/>
      <c r="CH132" s="116"/>
      <c r="CI132" s="116"/>
      <c r="CJ132" s="116"/>
      <c r="CK132" s="116"/>
      <c r="CL132" s="116"/>
      <c r="CM132" s="116"/>
      <c r="CN132" s="116"/>
      <c r="CO132" s="116"/>
      <c r="CP132" s="116"/>
      <c r="CQ132" s="116"/>
      <c r="CR132" s="116"/>
      <c r="CS132" s="116"/>
      <c r="CT132" s="116"/>
      <c r="CU132" s="116"/>
      <c r="CV132" s="116"/>
      <c r="CW132" s="116"/>
      <c r="CX132" s="116"/>
      <c r="CY132" s="116"/>
      <c r="CZ132" s="116"/>
      <c r="DA132" s="116"/>
      <c r="DB132" s="116"/>
      <c r="DC132" s="116"/>
      <c r="DD132" s="116"/>
      <c r="DE132" s="116"/>
      <c r="DF132" s="116"/>
      <c r="DG132" s="116"/>
      <c r="DH132" s="116"/>
      <c r="DI132" s="116"/>
      <c r="DJ132" s="116"/>
      <c r="DK132" s="116"/>
      <c r="DL132" s="116"/>
      <c r="DM132" s="116"/>
      <c r="DN132" s="116"/>
      <c r="DO132" s="116"/>
      <c r="DP132" s="116"/>
      <c r="DQ132" s="116"/>
      <c r="DR132" s="116"/>
      <c r="DS132" s="116"/>
      <c r="DT132" s="116"/>
      <c r="DU132" s="116"/>
      <c r="DV132" s="116"/>
      <c r="DW132" s="116"/>
      <c r="DX132" s="116"/>
      <c r="DY132" s="116"/>
      <c r="DZ132" s="116"/>
      <c r="EA132" s="116"/>
      <c r="EB132" s="116"/>
      <c r="EC132" s="116"/>
      <c r="ED132" s="116"/>
      <c r="EE132" s="116"/>
      <c r="EF132" s="116"/>
      <c r="EG132" s="116"/>
      <c r="EH132" s="116"/>
      <c r="EI132" s="116"/>
      <c r="EJ132" s="116"/>
      <c r="EK132" s="116"/>
      <c r="EL132" s="116"/>
      <c r="EM132" s="116"/>
      <c r="EN132" s="116"/>
      <c r="EO132" s="116"/>
      <c r="EP132" s="116"/>
      <c r="EQ132" s="116"/>
      <c r="ER132" s="116"/>
      <c r="ES132" s="116"/>
      <c r="ET132" s="116"/>
      <c r="EU132" s="116"/>
      <c r="EV132" s="116"/>
      <c r="EW132" s="116"/>
      <c r="EX132" s="116"/>
      <c r="EY132" s="116"/>
      <c r="EZ132" s="116"/>
      <c r="FA132" s="116"/>
      <c r="FB132" s="116"/>
      <c r="FC132" s="116"/>
      <c r="FD132" s="116"/>
      <c r="FE132" s="116"/>
      <c r="FF132" s="116"/>
      <c r="FG132" s="116"/>
      <c r="FH132" s="116"/>
      <c r="FI132" s="116"/>
      <c r="FJ132" s="116"/>
      <c r="FK132" s="116"/>
      <c r="FL132" s="116"/>
      <c r="FM132" s="116"/>
      <c r="FN132" s="116"/>
      <c r="FO132" s="116"/>
      <c r="FP132" s="116"/>
      <c r="FQ132" s="116"/>
      <c r="FR132" s="116"/>
      <c r="FS132" s="116"/>
      <c r="FT132" s="116"/>
      <c r="FU132" s="116"/>
      <c r="FV132" s="116"/>
      <c r="FW132" s="116"/>
      <c r="FX132" s="116"/>
      <c r="FY132" s="116"/>
      <c r="FZ132" s="116"/>
      <c r="GA132" s="116"/>
      <c r="GB132" s="116"/>
      <c r="GC132" s="116"/>
      <c r="GD132" s="116"/>
      <c r="GE132" s="116"/>
      <c r="GF132" s="116"/>
      <c r="GG132" s="116"/>
      <c r="GH132" s="116"/>
      <c r="GI132" s="116"/>
      <c r="GJ132" s="116"/>
      <c r="GK132" s="116"/>
      <c r="GL132" s="116"/>
      <c r="GM132" s="116"/>
      <c r="GN132" s="116"/>
      <c r="GO132" s="116"/>
      <c r="GP132" s="116"/>
      <c r="GQ132" s="116"/>
      <c r="GR132" s="116"/>
      <c r="GS132" s="116"/>
      <c r="GT132" s="116"/>
      <c r="GU132" s="116"/>
      <c r="GV132" s="116"/>
      <c r="GW132" s="116"/>
      <c r="GX132" s="116"/>
      <c r="GY132" s="116"/>
      <c r="GZ132" s="116"/>
      <c r="HA132" s="116"/>
      <c r="HB132" s="116"/>
      <c r="HC132" s="116"/>
      <c r="HD132" s="116"/>
      <c r="HE132" s="116"/>
      <c r="HF132" s="116"/>
      <c r="HG132" s="116"/>
      <c r="HH132" s="116"/>
      <c r="HI132" s="116"/>
      <c r="HJ132" s="116"/>
      <c r="HK132" s="116"/>
      <c r="HL132" s="116"/>
      <c r="HM132" s="116"/>
      <c r="HN132" s="116"/>
      <c r="HO132" s="116"/>
      <c r="HP132" s="116"/>
      <c r="HQ132" s="116"/>
      <c r="HR132" s="116"/>
      <c r="HS132" s="116"/>
      <c r="HT132" s="116"/>
      <c r="HU132" s="116"/>
      <c r="HV132" s="116"/>
      <c r="HW132" s="116"/>
      <c r="HX132" s="116"/>
      <c r="HY132" s="116"/>
      <c r="HZ132" s="116"/>
      <c r="IA132" s="116"/>
      <c r="IB132" s="116"/>
      <c r="IC132" s="116"/>
      <c r="ID132" s="116"/>
      <c r="IE132" s="116"/>
      <c r="IF132" s="116"/>
      <c r="IG132" s="116"/>
      <c r="IH132" s="116"/>
      <c r="II132" s="116"/>
      <c r="IJ132" s="116"/>
      <c r="IK132" s="116"/>
      <c r="IL132" s="116"/>
      <c r="IM132" s="116"/>
      <c r="IN132" s="116"/>
      <c r="IO132" s="116"/>
      <c r="IP132" s="116"/>
      <c r="IQ132" s="116"/>
      <c r="IR132" s="116"/>
      <c r="IS132" s="116"/>
      <c r="IT132" s="116"/>
      <c r="IU132" s="116"/>
      <c r="IV132" s="116"/>
      <c r="IW132" s="116"/>
      <c r="IX132" s="116"/>
      <c r="IY132" s="116"/>
      <c r="IZ132" s="116"/>
    </row>
    <row r="133" spans="1:260" x14ac:dyDescent="0.3">
      <c r="B133" s="373" t="s">
        <v>199</v>
      </c>
      <c r="C133" s="373"/>
      <c r="D133" s="373"/>
      <c r="E133" s="373"/>
      <c r="F133" s="373"/>
      <c r="G133" s="373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  <c r="BC133" s="116"/>
      <c r="BD133" s="116"/>
      <c r="BE133" s="116"/>
      <c r="BF133" s="116"/>
      <c r="BG133" s="116"/>
      <c r="BH133" s="116"/>
      <c r="BI133" s="116"/>
      <c r="BJ133" s="116"/>
      <c r="BK133" s="116"/>
      <c r="BL133" s="116"/>
      <c r="BM133" s="116"/>
      <c r="BN133" s="116"/>
      <c r="BO133" s="116"/>
      <c r="BP133" s="116"/>
      <c r="BQ133" s="116"/>
      <c r="BR133" s="116"/>
      <c r="BS133" s="116"/>
      <c r="BT133" s="116"/>
      <c r="BU133" s="116"/>
      <c r="BV133" s="116"/>
      <c r="BW133" s="116"/>
      <c r="BX133" s="116"/>
      <c r="BY133" s="116"/>
      <c r="BZ133" s="116"/>
      <c r="CA133" s="116"/>
      <c r="CB133" s="116"/>
      <c r="CC133" s="116"/>
      <c r="CD133" s="116"/>
      <c r="CE133" s="116"/>
      <c r="CF133" s="116"/>
      <c r="CG133" s="116"/>
      <c r="CH133" s="116"/>
      <c r="CI133" s="116"/>
      <c r="CJ133" s="116"/>
      <c r="CK133" s="116"/>
      <c r="CL133" s="116"/>
      <c r="CM133" s="116"/>
      <c r="CN133" s="116"/>
      <c r="CO133" s="116"/>
      <c r="CP133" s="116"/>
      <c r="CQ133" s="116"/>
      <c r="CR133" s="116"/>
      <c r="CS133" s="116"/>
      <c r="CT133" s="116"/>
      <c r="CU133" s="116"/>
      <c r="CV133" s="116"/>
      <c r="CW133" s="116"/>
      <c r="CX133" s="116"/>
      <c r="CY133" s="116"/>
      <c r="CZ133" s="116"/>
      <c r="DA133" s="116"/>
      <c r="DB133" s="116"/>
      <c r="DC133" s="116"/>
      <c r="DD133" s="116"/>
      <c r="DE133" s="116"/>
      <c r="DF133" s="116"/>
      <c r="DG133" s="116"/>
      <c r="DH133" s="116"/>
      <c r="DI133" s="116"/>
      <c r="DJ133" s="116"/>
      <c r="DK133" s="116"/>
      <c r="DL133" s="116"/>
      <c r="DM133" s="116"/>
      <c r="DN133" s="116"/>
      <c r="DO133" s="116"/>
      <c r="DP133" s="116"/>
      <c r="DQ133" s="116"/>
      <c r="DR133" s="116"/>
      <c r="DS133" s="116"/>
      <c r="DT133" s="116"/>
      <c r="DU133" s="116"/>
      <c r="DV133" s="116"/>
      <c r="DW133" s="116"/>
      <c r="DX133" s="116"/>
      <c r="DY133" s="116"/>
      <c r="DZ133" s="116"/>
      <c r="EA133" s="116"/>
      <c r="EB133" s="116"/>
      <c r="EC133" s="116"/>
      <c r="ED133" s="116"/>
      <c r="EE133" s="116"/>
      <c r="EF133" s="116"/>
      <c r="EG133" s="116"/>
      <c r="EH133" s="116"/>
      <c r="EI133" s="116"/>
      <c r="EJ133" s="116"/>
      <c r="EK133" s="116"/>
      <c r="EL133" s="116"/>
      <c r="EM133" s="116"/>
      <c r="EN133" s="116"/>
      <c r="EO133" s="116"/>
      <c r="EP133" s="116"/>
      <c r="EQ133" s="116"/>
      <c r="ER133" s="116"/>
      <c r="ES133" s="116"/>
      <c r="ET133" s="116"/>
      <c r="EU133" s="116"/>
      <c r="EV133" s="116"/>
      <c r="EW133" s="116"/>
      <c r="EX133" s="116"/>
      <c r="EY133" s="116"/>
      <c r="EZ133" s="116"/>
      <c r="FA133" s="116"/>
      <c r="FB133" s="116"/>
      <c r="FC133" s="116"/>
      <c r="FD133" s="116"/>
      <c r="FE133" s="116"/>
      <c r="FF133" s="116"/>
      <c r="FG133" s="116"/>
      <c r="FH133" s="116"/>
      <c r="FI133" s="116"/>
      <c r="FJ133" s="116"/>
      <c r="FK133" s="116"/>
      <c r="FL133" s="116"/>
      <c r="FM133" s="116"/>
      <c r="FN133" s="116"/>
      <c r="FO133" s="116"/>
      <c r="FP133" s="116"/>
      <c r="FQ133" s="116"/>
      <c r="FR133" s="116"/>
      <c r="FS133" s="116"/>
      <c r="FT133" s="116"/>
      <c r="FU133" s="116"/>
      <c r="FV133" s="116"/>
      <c r="FW133" s="116"/>
      <c r="FX133" s="116"/>
      <c r="FY133" s="116"/>
      <c r="FZ133" s="116"/>
      <c r="GA133" s="116"/>
      <c r="GB133" s="116"/>
      <c r="GC133" s="116"/>
      <c r="GD133" s="116"/>
      <c r="GE133" s="116"/>
      <c r="GF133" s="116"/>
      <c r="GG133" s="116"/>
      <c r="GH133" s="116"/>
      <c r="GI133" s="116"/>
      <c r="GJ133" s="116"/>
      <c r="GK133" s="116"/>
      <c r="GL133" s="116"/>
      <c r="GM133" s="116"/>
      <c r="GN133" s="116"/>
      <c r="GO133" s="116"/>
      <c r="GP133" s="116"/>
      <c r="GQ133" s="116"/>
      <c r="GR133" s="116"/>
      <c r="GS133" s="116"/>
      <c r="GT133" s="116"/>
      <c r="GU133" s="116"/>
      <c r="GV133" s="116"/>
      <c r="GW133" s="116"/>
      <c r="GX133" s="116"/>
      <c r="GY133" s="116"/>
      <c r="GZ133" s="116"/>
      <c r="HA133" s="116"/>
      <c r="HB133" s="116"/>
      <c r="HC133" s="116"/>
      <c r="HD133" s="116"/>
      <c r="HE133" s="116"/>
      <c r="HF133" s="116"/>
      <c r="HG133" s="116"/>
      <c r="HH133" s="116"/>
      <c r="HI133" s="116"/>
      <c r="HJ133" s="116"/>
      <c r="HK133" s="116"/>
      <c r="HL133" s="116"/>
      <c r="HM133" s="116"/>
      <c r="HN133" s="116"/>
      <c r="HO133" s="116"/>
      <c r="HP133" s="116"/>
      <c r="HQ133" s="116"/>
      <c r="HR133" s="116"/>
      <c r="HS133" s="116"/>
      <c r="HT133" s="116"/>
      <c r="HU133" s="116"/>
      <c r="HV133" s="116"/>
      <c r="HW133" s="116"/>
      <c r="HX133" s="116"/>
      <c r="HY133" s="116"/>
      <c r="HZ133" s="116"/>
      <c r="IA133" s="116"/>
      <c r="IB133" s="116"/>
      <c r="IC133" s="116"/>
      <c r="ID133" s="116"/>
      <c r="IE133" s="116"/>
      <c r="IF133" s="116"/>
      <c r="IG133" s="116"/>
      <c r="IH133" s="116"/>
      <c r="II133" s="116"/>
      <c r="IJ133" s="116"/>
      <c r="IK133" s="116"/>
      <c r="IL133" s="116"/>
      <c r="IM133" s="116"/>
      <c r="IN133" s="116"/>
      <c r="IO133" s="116"/>
      <c r="IP133" s="116"/>
      <c r="IQ133" s="116"/>
      <c r="IR133" s="116"/>
      <c r="IS133" s="116"/>
      <c r="IT133" s="116"/>
      <c r="IU133" s="116"/>
      <c r="IV133" s="116"/>
      <c r="IW133" s="116"/>
      <c r="IX133" s="116"/>
      <c r="IY133" s="116"/>
      <c r="IZ133" s="116"/>
    </row>
    <row r="134" spans="1:260" x14ac:dyDescent="0.3">
      <c r="B134" s="370">
        <v>0</v>
      </c>
      <c r="C134" s="370"/>
      <c r="D134" s="370"/>
      <c r="E134" s="370"/>
      <c r="F134" s="370"/>
      <c r="G134" s="370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/>
      <c r="BB134" s="116"/>
      <c r="BC134" s="116"/>
      <c r="BD134" s="116"/>
      <c r="BE134" s="116"/>
      <c r="BF134" s="116"/>
      <c r="BG134" s="116"/>
      <c r="BH134" s="116"/>
      <c r="BI134" s="116"/>
      <c r="BJ134" s="116"/>
      <c r="BK134" s="116"/>
      <c r="BL134" s="116"/>
      <c r="BM134" s="116"/>
      <c r="BN134" s="116"/>
      <c r="BO134" s="116"/>
      <c r="BP134" s="116"/>
      <c r="BQ134" s="116"/>
      <c r="BR134" s="116"/>
      <c r="BS134" s="116"/>
      <c r="BT134" s="116"/>
      <c r="BU134" s="116"/>
      <c r="BV134" s="116"/>
      <c r="BW134" s="116"/>
      <c r="BX134" s="116"/>
      <c r="BY134" s="116"/>
      <c r="BZ134" s="116"/>
      <c r="CA134" s="116"/>
      <c r="CB134" s="116"/>
      <c r="CC134" s="116"/>
      <c r="CD134" s="116"/>
      <c r="CE134" s="116"/>
      <c r="CF134" s="116"/>
      <c r="CG134" s="116"/>
      <c r="CH134" s="116"/>
      <c r="CI134" s="116"/>
      <c r="CJ134" s="116"/>
      <c r="CK134" s="116"/>
      <c r="CL134" s="116"/>
      <c r="CM134" s="116"/>
      <c r="CN134" s="116"/>
      <c r="CO134" s="116"/>
      <c r="CP134" s="116"/>
      <c r="CQ134" s="116"/>
      <c r="CR134" s="116"/>
      <c r="CS134" s="116"/>
      <c r="CT134" s="116"/>
      <c r="CU134" s="116"/>
      <c r="CV134" s="116"/>
      <c r="CW134" s="116"/>
      <c r="CX134" s="116"/>
      <c r="CY134" s="116"/>
      <c r="CZ134" s="116"/>
      <c r="DA134" s="116"/>
      <c r="DB134" s="116"/>
      <c r="DC134" s="116"/>
      <c r="DD134" s="116"/>
      <c r="DE134" s="116"/>
      <c r="DF134" s="116"/>
      <c r="DG134" s="116"/>
      <c r="DH134" s="116"/>
      <c r="DI134" s="116"/>
      <c r="DJ134" s="116"/>
      <c r="DK134" s="116"/>
      <c r="DL134" s="116"/>
      <c r="DM134" s="116"/>
      <c r="DN134" s="116"/>
      <c r="DO134" s="116"/>
      <c r="DP134" s="116"/>
      <c r="DQ134" s="116"/>
      <c r="DR134" s="116"/>
      <c r="DS134" s="116"/>
      <c r="DT134" s="116"/>
      <c r="DU134" s="116"/>
      <c r="DV134" s="116"/>
      <c r="DW134" s="116"/>
      <c r="DX134" s="116"/>
      <c r="DY134" s="116"/>
      <c r="DZ134" s="116"/>
      <c r="EA134" s="116"/>
      <c r="EB134" s="116"/>
      <c r="EC134" s="116"/>
      <c r="ED134" s="116"/>
      <c r="EE134" s="116"/>
      <c r="EF134" s="116"/>
      <c r="EG134" s="116"/>
      <c r="EH134" s="116"/>
      <c r="EI134" s="116"/>
      <c r="EJ134" s="116"/>
      <c r="EK134" s="116"/>
      <c r="EL134" s="116"/>
      <c r="EM134" s="116"/>
      <c r="EN134" s="116"/>
      <c r="EO134" s="116"/>
      <c r="EP134" s="116"/>
      <c r="EQ134" s="116"/>
      <c r="ER134" s="116"/>
      <c r="ES134" s="116"/>
      <c r="ET134" s="116"/>
      <c r="EU134" s="116"/>
      <c r="EV134" s="116"/>
      <c r="EW134" s="116"/>
      <c r="EX134" s="116"/>
      <c r="EY134" s="116"/>
      <c r="EZ134" s="116"/>
      <c r="FA134" s="116"/>
      <c r="FB134" s="116"/>
      <c r="FC134" s="116"/>
      <c r="FD134" s="116"/>
      <c r="FE134" s="116"/>
      <c r="FF134" s="116"/>
      <c r="FG134" s="116"/>
      <c r="FH134" s="116"/>
      <c r="FI134" s="116"/>
      <c r="FJ134" s="116"/>
      <c r="FK134" s="116"/>
      <c r="FL134" s="116"/>
      <c r="FM134" s="116"/>
      <c r="FN134" s="116"/>
      <c r="FO134" s="116"/>
      <c r="FP134" s="116"/>
      <c r="FQ134" s="116"/>
      <c r="FR134" s="116"/>
      <c r="FS134" s="116"/>
      <c r="FT134" s="116"/>
      <c r="FU134" s="116"/>
      <c r="FV134" s="116"/>
      <c r="FW134" s="116"/>
      <c r="FX134" s="116"/>
      <c r="FY134" s="116"/>
      <c r="FZ134" s="116"/>
      <c r="GA134" s="116"/>
      <c r="GB134" s="116"/>
      <c r="GC134" s="116"/>
      <c r="GD134" s="116"/>
      <c r="GE134" s="116"/>
      <c r="GF134" s="116"/>
      <c r="GG134" s="116"/>
      <c r="GH134" s="116"/>
      <c r="GI134" s="116"/>
      <c r="GJ134" s="116"/>
      <c r="GK134" s="116"/>
      <c r="GL134" s="116"/>
      <c r="GM134" s="116"/>
      <c r="GN134" s="116"/>
      <c r="GO134" s="116"/>
      <c r="GP134" s="116"/>
      <c r="GQ134" s="116"/>
      <c r="GR134" s="116"/>
      <c r="GS134" s="116"/>
      <c r="GT134" s="116"/>
      <c r="GU134" s="116"/>
      <c r="GV134" s="116"/>
      <c r="GW134" s="116"/>
      <c r="GX134" s="116"/>
      <c r="GY134" s="116"/>
      <c r="GZ134" s="116"/>
      <c r="HA134" s="116"/>
      <c r="HB134" s="116"/>
      <c r="HC134" s="116"/>
      <c r="HD134" s="116"/>
      <c r="HE134" s="116"/>
      <c r="HF134" s="116"/>
      <c r="HG134" s="116"/>
      <c r="HH134" s="116"/>
      <c r="HI134" s="116"/>
      <c r="HJ134" s="116"/>
      <c r="HK134" s="116"/>
      <c r="HL134" s="116"/>
      <c r="HM134" s="116"/>
      <c r="HN134" s="116"/>
      <c r="HO134" s="116"/>
      <c r="HP134" s="116"/>
      <c r="HQ134" s="116"/>
      <c r="HR134" s="116"/>
      <c r="HS134" s="116"/>
      <c r="HT134" s="116"/>
      <c r="HU134" s="116"/>
      <c r="HV134" s="116"/>
      <c r="HW134" s="116"/>
      <c r="HX134" s="116"/>
      <c r="HY134" s="116"/>
      <c r="HZ134" s="116"/>
      <c r="IA134" s="116"/>
      <c r="IB134" s="116"/>
      <c r="IC134" s="116"/>
      <c r="ID134" s="116"/>
      <c r="IE134" s="116"/>
      <c r="IF134" s="116"/>
      <c r="IG134" s="116"/>
      <c r="IH134" s="116"/>
      <c r="II134" s="116"/>
      <c r="IJ134" s="116"/>
      <c r="IK134" s="116"/>
      <c r="IL134" s="116"/>
      <c r="IM134" s="116"/>
      <c r="IN134" s="116"/>
      <c r="IO134" s="116"/>
      <c r="IP134" s="116"/>
      <c r="IQ134" s="116"/>
      <c r="IR134" s="116"/>
      <c r="IS134" s="116"/>
      <c r="IT134" s="116"/>
      <c r="IU134" s="116"/>
      <c r="IV134" s="116"/>
      <c r="IW134" s="116"/>
      <c r="IX134" s="116"/>
      <c r="IY134" s="116"/>
      <c r="IZ134" s="116"/>
    </row>
    <row r="135" spans="1:260" x14ac:dyDescent="0.3">
      <c r="B135" s="157" t="s">
        <v>168</v>
      </c>
      <c r="C135" s="157">
        <v>0</v>
      </c>
      <c r="D135" s="157">
        <v>1</v>
      </c>
      <c r="E135" s="157">
        <v>2</v>
      </c>
      <c r="F135" s="157">
        <v>3</v>
      </c>
      <c r="G135" s="157">
        <v>4</v>
      </c>
      <c r="H135" s="157">
        <v>5</v>
      </c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6"/>
      <c r="BA135" s="116"/>
      <c r="BB135" s="116"/>
      <c r="BC135" s="116"/>
      <c r="BD135" s="116"/>
      <c r="BE135" s="116"/>
      <c r="BF135" s="116"/>
      <c r="BG135" s="116"/>
      <c r="BH135" s="116"/>
      <c r="BI135" s="116"/>
      <c r="BJ135" s="116"/>
      <c r="BK135" s="116"/>
      <c r="BL135" s="116"/>
      <c r="BM135" s="116"/>
      <c r="BN135" s="116"/>
      <c r="BO135" s="116"/>
      <c r="BP135" s="116"/>
      <c r="BQ135" s="116"/>
      <c r="BR135" s="116"/>
      <c r="BS135" s="116"/>
      <c r="BT135" s="116"/>
      <c r="BU135" s="116"/>
      <c r="BV135" s="116"/>
      <c r="BW135" s="116"/>
      <c r="BX135" s="116"/>
      <c r="BY135" s="116"/>
      <c r="BZ135" s="116"/>
      <c r="CA135" s="116"/>
      <c r="CB135" s="116"/>
      <c r="CC135" s="116"/>
      <c r="CD135" s="116"/>
      <c r="CE135" s="116"/>
      <c r="CF135" s="116"/>
      <c r="CG135" s="116"/>
      <c r="CH135" s="116"/>
      <c r="CI135" s="116"/>
      <c r="CJ135" s="116"/>
      <c r="CK135" s="116"/>
      <c r="CL135" s="116"/>
      <c r="CM135" s="116"/>
      <c r="CN135" s="116"/>
      <c r="CO135" s="116"/>
      <c r="CP135" s="116"/>
      <c r="CQ135" s="116"/>
      <c r="CR135" s="116"/>
      <c r="CS135" s="116"/>
      <c r="CT135" s="116"/>
      <c r="CU135" s="116"/>
      <c r="CV135" s="116"/>
      <c r="CW135" s="116"/>
      <c r="CX135" s="116"/>
      <c r="CY135" s="116"/>
      <c r="CZ135" s="116"/>
      <c r="DA135" s="116"/>
      <c r="DB135" s="116"/>
      <c r="DC135" s="116"/>
      <c r="DD135" s="116"/>
      <c r="DE135" s="116"/>
      <c r="DF135" s="116"/>
      <c r="DG135" s="116"/>
      <c r="DH135" s="116"/>
      <c r="DI135" s="116"/>
      <c r="DJ135" s="116"/>
      <c r="DK135" s="116"/>
      <c r="DL135" s="116"/>
      <c r="DM135" s="116"/>
      <c r="DN135" s="116"/>
      <c r="DO135" s="116"/>
      <c r="DP135" s="116"/>
      <c r="DQ135" s="116"/>
      <c r="DR135" s="116"/>
      <c r="DS135" s="116"/>
      <c r="DT135" s="116"/>
      <c r="DU135" s="116"/>
      <c r="DV135" s="116"/>
      <c r="DW135" s="116"/>
      <c r="DX135" s="116"/>
      <c r="DY135" s="116"/>
      <c r="DZ135" s="116"/>
      <c r="EA135" s="116"/>
      <c r="EB135" s="116"/>
      <c r="EC135" s="116"/>
      <c r="ED135" s="116"/>
      <c r="EE135" s="116"/>
      <c r="EF135" s="116"/>
      <c r="EG135" s="116"/>
      <c r="EH135" s="116"/>
      <c r="EI135" s="116"/>
      <c r="EJ135" s="116"/>
      <c r="EK135" s="116"/>
      <c r="EL135" s="116"/>
      <c r="EM135" s="116"/>
      <c r="EN135" s="116"/>
      <c r="EO135" s="116"/>
      <c r="EP135" s="116"/>
      <c r="EQ135" s="116"/>
      <c r="ER135" s="116"/>
      <c r="ES135" s="116"/>
      <c r="ET135" s="116"/>
      <c r="EU135" s="116"/>
      <c r="EV135" s="116"/>
      <c r="EW135" s="116"/>
      <c r="EX135" s="116"/>
      <c r="EY135" s="116"/>
      <c r="EZ135" s="116"/>
      <c r="FA135" s="116"/>
      <c r="FB135" s="116"/>
      <c r="FC135" s="116"/>
      <c r="FD135" s="116"/>
      <c r="FE135" s="116"/>
      <c r="FF135" s="116"/>
      <c r="FG135" s="116"/>
      <c r="FH135" s="116"/>
      <c r="FI135" s="116"/>
      <c r="FJ135" s="116"/>
      <c r="FK135" s="116"/>
      <c r="FL135" s="116"/>
      <c r="FM135" s="116"/>
      <c r="FN135" s="116"/>
      <c r="FO135" s="116"/>
      <c r="FP135" s="116"/>
      <c r="FQ135" s="116"/>
      <c r="FR135" s="116"/>
      <c r="FS135" s="116"/>
      <c r="FT135" s="116"/>
      <c r="FU135" s="116"/>
      <c r="FV135" s="116"/>
      <c r="FW135" s="116"/>
      <c r="FX135" s="116"/>
      <c r="FY135" s="116"/>
      <c r="FZ135" s="116"/>
      <c r="GA135" s="116"/>
      <c r="GB135" s="116"/>
      <c r="GC135" s="116"/>
      <c r="GD135" s="116"/>
      <c r="GE135" s="116"/>
      <c r="GF135" s="116"/>
      <c r="GG135" s="116"/>
      <c r="GH135" s="116"/>
      <c r="GI135" s="116"/>
      <c r="GJ135" s="116"/>
      <c r="GK135" s="116"/>
      <c r="GL135" s="116"/>
      <c r="GM135" s="116"/>
      <c r="GN135" s="116"/>
      <c r="GO135" s="116"/>
      <c r="GP135" s="116"/>
      <c r="GQ135" s="116"/>
      <c r="GR135" s="116"/>
      <c r="GS135" s="116"/>
      <c r="GT135" s="116"/>
      <c r="GU135" s="116"/>
      <c r="GV135" s="116"/>
      <c r="GW135" s="116"/>
      <c r="GX135" s="116"/>
      <c r="GY135" s="116"/>
      <c r="GZ135" s="116"/>
      <c r="HA135" s="116"/>
      <c r="HB135" s="116"/>
      <c r="HC135" s="116"/>
      <c r="HD135" s="116"/>
      <c r="HE135" s="116"/>
      <c r="HF135" s="116"/>
      <c r="HG135" s="116"/>
      <c r="HH135" s="116"/>
      <c r="HI135" s="116"/>
      <c r="HJ135" s="116"/>
      <c r="HK135" s="116"/>
      <c r="HL135" s="116"/>
      <c r="HM135" s="116"/>
      <c r="HN135" s="116"/>
      <c r="HO135" s="116"/>
      <c r="HP135" s="116"/>
      <c r="HQ135" s="116"/>
      <c r="HR135" s="116"/>
      <c r="HS135" s="116"/>
      <c r="HT135" s="116"/>
      <c r="HU135" s="116"/>
      <c r="HV135" s="116"/>
      <c r="HW135" s="116"/>
      <c r="HX135" s="116"/>
      <c r="HY135" s="116"/>
      <c r="HZ135" s="116"/>
      <c r="IA135" s="116"/>
      <c r="IB135" s="116"/>
      <c r="IC135" s="116"/>
      <c r="ID135" s="116"/>
      <c r="IE135" s="116"/>
      <c r="IF135" s="116"/>
      <c r="IG135" s="116"/>
      <c r="IH135" s="116"/>
      <c r="II135" s="116"/>
      <c r="IJ135" s="116"/>
      <c r="IK135" s="116"/>
      <c r="IL135" s="116"/>
      <c r="IM135" s="116"/>
      <c r="IN135" s="116"/>
      <c r="IO135" s="116"/>
      <c r="IP135" s="116"/>
      <c r="IQ135" s="116"/>
      <c r="IR135" s="116"/>
      <c r="IS135" s="116"/>
      <c r="IT135" s="116"/>
      <c r="IU135" s="116"/>
      <c r="IV135" s="116"/>
      <c r="IW135" s="116"/>
      <c r="IX135" s="116"/>
      <c r="IY135" s="116"/>
      <c r="IZ135" s="116"/>
    </row>
    <row r="136" spans="1:260" x14ac:dyDescent="0.3">
      <c r="B136" s="141" t="s">
        <v>180</v>
      </c>
      <c r="C136" s="236"/>
      <c r="D136" s="236">
        <f t="shared" ref="D136:H139" si="30">+D98</f>
        <v>115219911861.59999</v>
      </c>
      <c r="E136" s="236">
        <f t="shared" si="30"/>
        <v>127971789191.94868</v>
      </c>
      <c r="F136" s="236">
        <f t="shared" si="30"/>
        <v>177776294011.81506</v>
      </c>
      <c r="G136" s="236">
        <f t="shared" si="30"/>
        <v>197657973082.22723</v>
      </c>
      <c r="H136" s="236">
        <f t="shared" si="30"/>
        <v>219688331291.53909</v>
      </c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  <c r="BD136" s="116"/>
      <c r="BE136" s="116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6"/>
      <c r="BQ136" s="116"/>
      <c r="BR136" s="116"/>
      <c r="BS136" s="116"/>
      <c r="BT136" s="116"/>
      <c r="BU136" s="116"/>
      <c r="BV136" s="116"/>
      <c r="BW136" s="116"/>
      <c r="BX136" s="116"/>
      <c r="BY136" s="116"/>
      <c r="BZ136" s="116"/>
      <c r="CA136" s="116"/>
      <c r="CB136" s="116"/>
      <c r="CC136" s="116"/>
      <c r="CD136" s="116"/>
      <c r="CE136" s="116"/>
      <c r="CF136" s="116"/>
      <c r="CG136" s="116"/>
      <c r="CH136" s="116"/>
      <c r="CI136" s="116"/>
      <c r="CJ136" s="116"/>
      <c r="CK136" s="116"/>
      <c r="CL136" s="116"/>
      <c r="CM136" s="116"/>
      <c r="CN136" s="116"/>
      <c r="CO136" s="116"/>
      <c r="CP136" s="116"/>
      <c r="CQ136" s="116"/>
      <c r="CR136" s="116"/>
      <c r="CS136" s="116"/>
      <c r="CT136" s="116"/>
      <c r="CU136" s="116"/>
      <c r="CV136" s="116"/>
      <c r="CW136" s="116"/>
      <c r="CX136" s="116"/>
      <c r="CY136" s="116"/>
      <c r="CZ136" s="116"/>
      <c r="DA136" s="116"/>
      <c r="DB136" s="116"/>
      <c r="DC136" s="116"/>
      <c r="DD136" s="116"/>
      <c r="DE136" s="116"/>
      <c r="DF136" s="116"/>
      <c r="DG136" s="116"/>
      <c r="DH136" s="116"/>
      <c r="DI136" s="116"/>
      <c r="DJ136" s="116"/>
      <c r="DK136" s="116"/>
      <c r="DL136" s="116"/>
      <c r="DM136" s="116"/>
      <c r="DN136" s="116"/>
      <c r="DO136" s="116"/>
      <c r="DP136" s="116"/>
      <c r="DQ136" s="116"/>
      <c r="DR136" s="116"/>
      <c r="DS136" s="116"/>
      <c r="DT136" s="116"/>
      <c r="DU136" s="116"/>
      <c r="DV136" s="116"/>
      <c r="DW136" s="116"/>
      <c r="DX136" s="116"/>
      <c r="DY136" s="116"/>
      <c r="DZ136" s="116"/>
      <c r="EA136" s="116"/>
      <c r="EB136" s="116"/>
      <c r="EC136" s="116"/>
      <c r="ED136" s="116"/>
      <c r="EE136" s="116"/>
      <c r="EF136" s="116"/>
      <c r="EG136" s="116"/>
      <c r="EH136" s="116"/>
      <c r="EI136" s="116"/>
      <c r="EJ136" s="116"/>
      <c r="EK136" s="116"/>
      <c r="EL136" s="116"/>
      <c r="EM136" s="116"/>
      <c r="EN136" s="116"/>
      <c r="EO136" s="116"/>
      <c r="EP136" s="116"/>
      <c r="EQ136" s="116"/>
      <c r="ER136" s="116"/>
      <c r="ES136" s="116"/>
      <c r="ET136" s="116"/>
      <c r="EU136" s="116"/>
      <c r="EV136" s="116"/>
      <c r="EW136" s="116"/>
      <c r="EX136" s="116"/>
      <c r="EY136" s="116"/>
      <c r="EZ136" s="116"/>
      <c r="FA136" s="116"/>
      <c r="FB136" s="116"/>
      <c r="FC136" s="116"/>
      <c r="FD136" s="116"/>
      <c r="FE136" s="116"/>
      <c r="FF136" s="116"/>
      <c r="FG136" s="116"/>
      <c r="FH136" s="116"/>
      <c r="FI136" s="116"/>
      <c r="FJ136" s="116"/>
      <c r="FK136" s="116"/>
      <c r="FL136" s="116"/>
      <c r="FM136" s="116"/>
      <c r="FN136" s="116"/>
      <c r="FO136" s="116"/>
      <c r="FP136" s="116"/>
      <c r="FQ136" s="116"/>
      <c r="FR136" s="116"/>
      <c r="FS136" s="116"/>
      <c r="FT136" s="116"/>
      <c r="FU136" s="116"/>
      <c r="FV136" s="116"/>
      <c r="FW136" s="116"/>
      <c r="FX136" s="116"/>
      <c r="FY136" s="116"/>
      <c r="FZ136" s="116"/>
      <c r="GA136" s="116"/>
      <c r="GB136" s="116"/>
      <c r="GC136" s="116"/>
      <c r="GD136" s="116"/>
      <c r="GE136" s="116"/>
      <c r="GF136" s="116"/>
      <c r="GG136" s="116"/>
      <c r="GH136" s="116"/>
      <c r="GI136" s="116"/>
      <c r="GJ136" s="116"/>
      <c r="GK136" s="116"/>
      <c r="GL136" s="116"/>
      <c r="GM136" s="116"/>
      <c r="GN136" s="116"/>
      <c r="GO136" s="116"/>
      <c r="GP136" s="116"/>
      <c r="GQ136" s="116"/>
      <c r="GR136" s="116"/>
      <c r="GS136" s="116"/>
      <c r="GT136" s="116"/>
      <c r="GU136" s="116"/>
      <c r="GV136" s="116"/>
      <c r="GW136" s="116"/>
      <c r="GX136" s="116"/>
      <c r="GY136" s="116"/>
      <c r="GZ136" s="116"/>
      <c r="HA136" s="116"/>
      <c r="HB136" s="116"/>
      <c r="HC136" s="116"/>
      <c r="HD136" s="116"/>
      <c r="HE136" s="116"/>
      <c r="HF136" s="116"/>
      <c r="HG136" s="116"/>
      <c r="HH136" s="116"/>
      <c r="HI136" s="116"/>
      <c r="HJ136" s="116"/>
      <c r="HK136" s="116"/>
      <c r="HL136" s="116"/>
      <c r="HM136" s="116"/>
      <c r="HN136" s="116"/>
      <c r="HO136" s="116"/>
      <c r="HP136" s="116"/>
      <c r="HQ136" s="116"/>
      <c r="HR136" s="116"/>
      <c r="HS136" s="116"/>
      <c r="HT136" s="116"/>
      <c r="HU136" s="116"/>
      <c r="HV136" s="116"/>
      <c r="HW136" s="116"/>
      <c r="HX136" s="116"/>
      <c r="HY136" s="116"/>
      <c r="HZ136" s="116"/>
      <c r="IA136" s="116"/>
      <c r="IB136" s="116"/>
      <c r="IC136" s="116"/>
      <c r="ID136" s="116"/>
      <c r="IE136" s="116"/>
      <c r="IF136" s="116"/>
      <c r="IG136" s="116"/>
      <c r="IH136" s="116"/>
      <c r="II136" s="116"/>
      <c r="IJ136" s="116"/>
      <c r="IK136" s="116"/>
      <c r="IL136" s="116"/>
      <c r="IM136" s="116"/>
      <c r="IN136" s="116"/>
      <c r="IO136" s="116"/>
      <c r="IP136" s="116"/>
      <c r="IQ136" s="116"/>
      <c r="IR136" s="116"/>
      <c r="IS136" s="116"/>
      <c r="IT136" s="116"/>
      <c r="IU136" s="116"/>
      <c r="IV136" s="116"/>
      <c r="IW136" s="116"/>
      <c r="IX136" s="116"/>
      <c r="IY136" s="116"/>
      <c r="IZ136" s="116"/>
    </row>
    <row r="137" spans="1:260" x14ac:dyDescent="0.3">
      <c r="B137" s="133" t="s">
        <v>200</v>
      </c>
      <c r="C137" s="236"/>
      <c r="D137" s="236">
        <f t="shared" si="30"/>
        <v>116185402623.33333</v>
      </c>
      <c r="E137" s="236">
        <f t="shared" si="30"/>
        <v>129044134919.61874</v>
      </c>
      <c r="F137" s="236">
        <f t="shared" si="30"/>
        <v>143412783175.58322</v>
      </c>
      <c r="G137" s="236">
        <f t="shared" si="30"/>
        <v>159451407720.44415</v>
      </c>
      <c r="H137" s="236">
        <f t="shared" si="30"/>
        <v>177223380461.00143</v>
      </c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  <c r="AU137" s="116"/>
      <c r="AV137" s="116"/>
      <c r="AW137" s="116"/>
      <c r="AX137" s="116"/>
      <c r="AY137" s="116"/>
      <c r="AZ137" s="116"/>
      <c r="BA137" s="116"/>
      <c r="BB137" s="116"/>
      <c r="BC137" s="116"/>
      <c r="BD137" s="116"/>
      <c r="BE137" s="116"/>
      <c r="BF137" s="116"/>
      <c r="BG137" s="116"/>
      <c r="BH137" s="116"/>
      <c r="BI137" s="116"/>
      <c r="BJ137" s="116"/>
      <c r="BK137" s="116"/>
      <c r="BL137" s="116"/>
      <c r="BM137" s="116"/>
      <c r="BN137" s="116"/>
      <c r="BO137" s="116"/>
      <c r="BP137" s="116"/>
      <c r="BQ137" s="116"/>
      <c r="BR137" s="116"/>
      <c r="BS137" s="116"/>
      <c r="BT137" s="116"/>
      <c r="BU137" s="116"/>
      <c r="BV137" s="116"/>
      <c r="BW137" s="116"/>
      <c r="BX137" s="116"/>
      <c r="BY137" s="116"/>
      <c r="BZ137" s="116"/>
      <c r="CA137" s="116"/>
      <c r="CB137" s="116"/>
      <c r="CC137" s="116"/>
      <c r="CD137" s="116"/>
      <c r="CE137" s="116"/>
      <c r="CF137" s="116"/>
      <c r="CG137" s="116"/>
      <c r="CH137" s="116"/>
      <c r="CI137" s="116"/>
      <c r="CJ137" s="116"/>
      <c r="CK137" s="116"/>
      <c r="CL137" s="116"/>
      <c r="CM137" s="116"/>
      <c r="CN137" s="116"/>
      <c r="CO137" s="116"/>
      <c r="CP137" s="116"/>
      <c r="CQ137" s="116"/>
      <c r="CR137" s="116"/>
      <c r="CS137" s="116"/>
      <c r="CT137" s="116"/>
      <c r="CU137" s="116"/>
      <c r="CV137" s="116"/>
      <c r="CW137" s="116"/>
      <c r="CX137" s="116"/>
      <c r="CY137" s="116"/>
      <c r="CZ137" s="116"/>
      <c r="DA137" s="116"/>
      <c r="DB137" s="116"/>
      <c r="DC137" s="116"/>
      <c r="DD137" s="116"/>
      <c r="DE137" s="116"/>
      <c r="DF137" s="116"/>
      <c r="DG137" s="116"/>
      <c r="DH137" s="116"/>
      <c r="DI137" s="116"/>
      <c r="DJ137" s="116"/>
      <c r="DK137" s="116"/>
      <c r="DL137" s="116"/>
      <c r="DM137" s="116"/>
      <c r="DN137" s="116"/>
      <c r="DO137" s="116"/>
      <c r="DP137" s="116"/>
      <c r="DQ137" s="116"/>
      <c r="DR137" s="116"/>
      <c r="DS137" s="116"/>
      <c r="DT137" s="116"/>
      <c r="DU137" s="116"/>
      <c r="DV137" s="116"/>
      <c r="DW137" s="116"/>
      <c r="DX137" s="116"/>
      <c r="DY137" s="116"/>
      <c r="DZ137" s="116"/>
      <c r="EA137" s="116"/>
      <c r="EB137" s="116"/>
      <c r="EC137" s="116"/>
      <c r="ED137" s="116"/>
      <c r="EE137" s="116"/>
      <c r="EF137" s="116"/>
      <c r="EG137" s="116"/>
      <c r="EH137" s="116"/>
      <c r="EI137" s="116"/>
      <c r="EJ137" s="116"/>
      <c r="EK137" s="116"/>
      <c r="EL137" s="116"/>
      <c r="EM137" s="116"/>
      <c r="EN137" s="116"/>
      <c r="EO137" s="116"/>
      <c r="EP137" s="116"/>
      <c r="EQ137" s="116"/>
      <c r="ER137" s="116"/>
      <c r="ES137" s="116"/>
      <c r="ET137" s="116"/>
      <c r="EU137" s="116"/>
      <c r="EV137" s="116"/>
      <c r="EW137" s="116"/>
      <c r="EX137" s="116"/>
      <c r="EY137" s="116"/>
      <c r="EZ137" s="116"/>
      <c r="FA137" s="116"/>
      <c r="FB137" s="116"/>
      <c r="FC137" s="116"/>
      <c r="FD137" s="116"/>
      <c r="FE137" s="116"/>
      <c r="FF137" s="116"/>
      <c r="FG137" s="116"/>
      <c r="FH137" s="116"/>
      <c r="FI137" s="116"/>
      <c r="FJ137" s="116"/>
      <c r="FK137" s="116"/>
      <c r="FL137" s="116"/>
      <c r="FM137" s="116"/>
      <c r="FN137" s="116"/>
      <c r="FO137" s="116"/>
      <c r="FP137" s="116"/>
      <c r="FQ137" s="116"/>
      <c r="FR137" s="116"/>
      <c r="FS137" s="116"/>
      <c r="FT137" s="116"/>
      <c r="FU137" s="116"/>
      <c r="FV137" s="116"/>
      <c r="FW137" s="116"/>
      <c r="FX137" s="116"/>
      <c r="FY137" s="116"/>
      <c r="FZ137" s="116"/>
      <c r="GA137" s="116"/>
      <c r="GB137" s="116"/>
      <c r="GC137" s="116"/>
      <c r="GD137" s="116"/>
      <c r="GE137" s="116"/>
      <c r="GF137" s="116"/>
      <c r="GG137" s="116"/>
      <c r="GH137" s="116"/>
      <c r="GI137" s="116"/>
      <c r="GJ137" s="116"/>
      <c r="GK137" s="116"/>
      <c r="GL137" s="116"/>
      <c r="GM137" s="116"/>
      <c r="GN137" s="116"/>
      <c r="GO137" s="116"/>
      <c r="GP137" s="116"/>
      <c r="GQ137" s="116"/>
      <c r="GR137" s="116"/>
      <c r="GS137" s="116"/>
      <c r="GT137" s="116"/>
      <c r="GU137" s="116"/>
      <c r="GV137" s="116"/>
      <c r="GW137" s="116"/>
      <c r="GX137" s="116"/>
      <c r="GY137" s="116"/>
      <c r="GZ137" s="116"/>
      <c r="HA137" s="116"/>
      <c r="HB137" s="116"/>
      <c r="HC137" s="116"/>
      <c r="HD137" s="116"/>
      <c r="HE137" s="116"/>
      <c r="HF137" s="116"/>
      <c r="HG137" s="116"/>
      <c r="HH137" s="116"/>
      <c r="HI137" s="116"/>
      <c r="HJ137" s="116"/>
      <c r="HK137" s="116"/>
      <c r="HL137" s="116"/>
      <c r="HM137" s="116"/>
      <c r="HN137" s="116"/>
      <c r="HO137" s="116"/>
      <c r="HP137" s="116"/>
      <c r="HQ137" s="116"/>
      <c r="HR137" s="116"/>
      <c r="HS137" s="116"/>
      <c r="HT137" s="116"/>
      <c r="HU137" s="116"/>
      <c r="HV137" s="116"/>
      <c r="HW137" s="116"/>
      <c r="HX137" s="116"/>
      <c r="HY137" s="116"/>
      <c r="HZ137" s="116"/>
      <c r="IA137" s="116"/>
      <c r="IB137" s="116"/>
      <c r="IC137" s="116"/>
      <c r="ID137" s="116"/>
      <c r="IE137" s="116"/>
      <c r="IF137" s="116"/>
      <c r="IG137" s="116"/>
      <c r="IH137" s="116"/>
      <c r="II137" s="116"/>
      <c r="IJ137" s="116"/>
      <c r="IK137" s="116"/>
      <c r="IL137" s="116"/>
      <c r="IM137" s="116"/>
      <c r="IN137" s="116"/>
      <c r="IO137" s="116"/>
      <c r="IP137" s="116"/>
      <c r="IQ137" s="116"/>
      <c r="IR137" s="116"/>
      <c r="IS137" s="116"/>
      <c r="IT137" s="116"/>
      <c r="IU137" s="116"/>
      <c r="IV137" s="116"/>
      <c r="IW137" s="116"/>
      <c r="IX137" s="116"/>
      <c r="IY137" s="116"/>
      <c r="IZ137" s="116"/>
    </row>
    <row r="138" spans="1:260" x14ac:dyDescent="0.3">
      <c r="B138" s="133" t="s">
        <v>201</v>
      </c>
      <c r="C138" s="236"/>
      <c r="D138" s="236">
        <f t="shared" si="30"/>
        <v>6091896286.9063864</v>
      </c>
      <c r="E138" s="236">
        <f t="shared" si="30"/>
        <v>6466377732.0922728</v>
      </c>
      <c r="F138" s="236">
        <f t="shared" si="30"/>
        <v>6844179084.2786293</v>
      </c>
      <c r="G138" s="236">
        <f t="shared" si="30"/>
        <v>7247234501.5965681</v>
      </c>
      <c r="H138" s="236">
        <f t="shared" si="30"/>
        <v>7671413506.3472528</v>
      </c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  <c r="BD138" s="116"/>
      <c r="BE138" s="116"/>
      <c r="BF138" s="116"/>
      <c r="BG138" s="116"/>
      <c r="BH138" s="116"/>
      <c r="BI138" s="116"/>
      <c r="BJ138" s="116"/>
      <c r="BK138" s="116"/>
      <c r="BL138" s="116"/>
      <c r="BM138" s="116"/>
      <c r="BN138" s="116"/>
      <c r="BO138" s="116"/>
      <c r="BP138" s="116"/>
      <c r="BQ138" s="116"/>
      <c r="BR138" s="116"/>
      <c r="BS138" s="116"/>
      <c r="BT138" s="116"/>
      <c r="BU138" s="116"/>
      <c r="BV138" s="116"/>
      <c r="BW138" s="116"/>
      <c r="BX138" s="116"/>
      <c r="BY138" s="116"/>
      <c r="BZ138" s="116"/>
      <c r="CA138" s="116"/>
      <c r="CB138" s="116"/>
      <c r="CC138" s="116"/>
      <c r="CD138" s="116"/>
      <c r="CE138" s="116"/>
      <c r="CF138" s="116"/>
      <c r="CG138" s="116"/>
      <c r="CH138" s="116"/>
      <c r="CI138" s="116"/>
      <c r="CJ138" s="116"/>
      <c r="CK138" s="116"/>
      <c r="CL138" s="116"/>
      <c r="CM138" s="116"/>
      <c r="CN138" s="116"/>
      <c r="CO138" s="116"/>
      <c r="CP138" s="116"/>
      <c r="CQ138" s="116"/>
      <c r="CR138" s="116"/>
      <c r="CS138" s="116"/>
      <c r="CT138" s="116"/>
      <c r="CU138" s="116"/>
      <c r="CV138" s="116"/>
      <c r="CW138" s="116"/>
      <c r="CX138" s="116"/>
      <c r="CY138" s="116"/>
      <c r="CZ138" s="116"/>
      <c r="DA138" s="116"/>
      <c r="DB138" s="116"/>
      <c r="DC138" s="116"/>
      <c r="DD138" s="116"/>
      <c r="DE138" s="116"/>
      <c r="DF138" s="116"/>
      <c r="DG138" s="116"/>
      <c r="DH138" s="116"/>
      <c r="DI138" s="116"/>
      <c r="DJ138" s="116"/>
      <c r="DK138" s="116"/>
      <c r="DL138" s="116"/>
      <c r="DM138" s="116"/>
      <c r="DN138" s="116"/>
      <c r="DO138" s="116"/>
      <c r="DP138" s="116"/>
      <c r="DQ138" s="116"/>
      <c r="DR138" s="116"/>
      <c r="DS138" s="116"/>
      <c r="DT138" s="116"/>
      <c r="DU138" s="116"/>
      <c r="DV138" s="116"/>
      <c r="DW138" s="116"/>
      <c r="DX138" s="116"/>
      <c r="DY138" s="116"/>
      <c r="DZ138" s="116"/>
      <c r="EA138" s="116"/>
      <c r="EB138" s="116"/>
      <c r="EC138" s="116"/>
      <c r="ED138" s="116"/>
      <c r="EE138" s="116"/>
      <c r="EF138" s="116"/>
      <c r="EG138" s="116"/>
      <c r="EH138" s="116"/>
      <c r="EI138" s="116"/>
      <c r="EJ138" s="116"/>
      <c r="EK138" s="116"/>
      <c r="EL138" s="116"/>
      <c r="EM138" s="116"/>
      <c r="EN138" s="116"/>
      <c r="EO138" s="116"/>
      <c r="EP138" s="116"/>
      <c r="EQ138" s="116"/>
      <c r="ER138" s="116"/>
      <c r="ES138" s="116"/>
      <c r="ET138" s="116"/>
      <c r="EU138" s="116"/>
      <c r="EV138" s="116"/>
      <c r="EW138" s="116"/>
      <c r="EX138" s="116"/>
      <c r="EY138" s="116"/>
      <c r="EZ138" s="116"/>
      <c r="FA138" s="116"/>
      <c r="FB138" s="116"/>
      <c r="FC138" s="116"/>
      <c r="FD138" s="116"/>
      <c r="FE138" s="116"/>
      <c r="FF138" s="116"/>
      <c r="FG138" s="116"/>
      <c r="FH138" s="116"/>
      <c r="FI138" s="116"/>
      <c r="FJ138" s="116"/>
      <c r="FK138" s="116"/>
      <c r="FL138" s="116"/>
      <c r="FM138" s="116"/>
      <c r="FN138" s="116"/>
      <c r="FO138" s="116"/>
      <c r="FP138" s="116"/>
      <c r="FQ138" s="116"/>
      <c r="FR138" s="116"/>
      <c r="FS138" s="116"/>
      <c r="FT138" s="116"/>
      <c r="FU138" s="116"/>
      <c r="FV138" s="116"/>
      <c r="FW138" s="116"/>
      <c r="FX138" s="116"/>
      <c r="FY138" s="116"/>
      <c r="FZ138" s="116"/>
      <c r="GA138" s="116"/>
      <c r="GB138" s="116"/>
      <c r="GC138" s="116"/>
      <c r="GD138" s="116"/>
      <c r="GE138" s="116"/>
      <c r="GF138" s="116"/>
      <c r="GG138" s="116"/>
      <c r="GH138" s="116"/>
      <c r="GI138" s="116"/>
      <c r="GJ138" s="116"/>
      <c r="GK138" s="116"/>
      <c r="GL138" s="116"/>
      <c r="GM138" s="116"/>
      <c r="GN138" s="116"/>
      <c r="GO138" s="116"/>
      <c r="GP138" s="116"/>
      <c r="GQ138" s="116"/>
      <c r="GR138" s="116"/>
      <c r="GS138" s="116"/>
      <c r="GT138" s="116"/>
      <c r="GU138" s="116"/>
      <c r="GV138" s="116"/>
      <c r="GW138" s="116"/>
      <c r="GX138" s="116"/>
      <c r="GY138" s="116"/>
      <c r="GZ138" s="116"/>
      <c r="HA138" s="116"/>
      <c r="HB138" s="116"/>
      <c r="HC138" s="116"/>
      <c r="HD138" s="116"/>
      <c r="HE138" s="116"/>
      <c r="HF138" s="116"/>
      <c r="HG138" s="116"/>
      <c r="HH138" s="116"/>
      <c r="HI138" s="116"/>
      <c r="HJ138" s="116"/>
      <c r="HK138" s="116"/>
      <c r="HL138" s="116"/>
      <c r="HM138" s="116"/>
      <c r="HN138" s="116"/>
      <c r="HO138" s="116"/>
      <c r="HP138" s="116"/>
      <c r="HQ138" s="116"/>
      <c r="HR138" s="116"/>
      <c r="HS138" s="116"/>
      <c r="HT138" s="116"/>
      <c r="HU138" s="116"/>
      <c r="HV138" s="116"/>
      <c r="HW138" s="116"/>
      <c r="HX138" s="116"/>
      <c r="HY138" s="116"/>
      <c r="HZ138" s="116"/>
      <c r="IA138" s="116"/>
      <c r="IB138" s="116"/>
      <c r="IC138" s="116"/>
      <c r="ID138" s="116"/>
      <c r="IE138" s="116"/>
      <c r="IF138" s="116"/>
      <c r="IG138" s="116"/>
      <c r="IH138" s="116"/>
      <c r="II138" s="116"/>
      <c r="IJ138" s="116"/>
      <c r="IK138" s="116"/>
      <c r="IL138" s="116"/>
      <c r="IM138" s="116"/>
      <c r="IN138" s="116"/>
      <c r="IO138" s="116"/>
      <c r="IP138" s="116"/>
      <c r="IQ138" s="116"/>
      <c r="IR138" s="116"/>
      <c r="IS138" s="116"/>
      <c r="IT138" s="116"/>
      <c r="IU138" s="116"/>
      <c r="IV138" s="116"/>
      <c r="IW138" s="116"/>
      <c r="IX138" s="116"/>
      <c r="IY138" s="116"/>
      <c r="IZ138" s="116"/>
    </row>
    <row r="139" spans="1:260" x14ac:dyDescent="0.3">
      <c r="B139" s="133" t="s">
        <v>202</v>
      </c>
      <c r="C139" s="236"/>
      <c r="D139" s="236">
        <f t="shared" si="30"/>
        <v>351290697.1056</v>
      </c>
      <c r="E139" s="236">
        <f t="shared" si="30"/>
        <v>665085762.44835985</v>
      </c>
      <c r="F139" s="236">
        <f t="shared" si="30"/>
        <v>737606713.98572898</v>
      </c>
      <c r="G139" s="236">
        <f t="shared" si="30"/>
        <v>819377794.29818702</v>
      </c>
      <c r="H139" s="236">
        <f t="shared" si="30"/>
        <v>909724028.65309358</v>
      </c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  <c r="AU139" s="116"/>
      <c r="AV139" s="116"/>
      <c r="AW139" s="116"/>
      <c r="AX139" s="116"/>
      <c r="AY139" s="116"/>
      <c r="AZ139" s="116"/>
      <c r="BA139" s="116"/>
      <c r="BB139" s="116"/>
      <c r="BC139" s="116"/>
      <c r="BD139" s="116"/>
      <c r="BE139" s="116"/>
      <c r="BF139" s="116"/>
      <c r="BG139" s="116"/>
      <c r="BH139" s="116"/>
      <c r="BI139" s="116"/>
      <c r="BJ139" s="116"/>
      <c r="BK139" s="116"/>
      <c r="BL139" s="116"/>
      <c r="BM139" s="116"/>
      <c r="BN139" s="116"/>
      <c r="BO139" s="116"/>
      <c r="BP139" s="116"/>
      <c r="BQ139" s="116"/>
      <c r="BR139" s="116"/>
      <c r="BS139" s="116"/>
      <c r="BT139" s="116"/>
      <c r="BU139" s="116"/>
      <c r="BV139" s="116"/>
      <c r="BW139" s="116"/>
      <c r="BX139" s="116"/>
      <c r="BY139" s="116"/>
      <c r="BZ139" s="116"/>
      <c r="CA139" s="116"/>
      <c r="CB139" s="116"/>
      <c r="CC139" s="116"/>
      <c r="CD139" s="116"/>
      <c r="CE139" s="116"/>
      <c r="CF139" s="116"/>
      <c r="CG139" s="116"/>
      <c r="CH139" s="116"/>
      <c r="CI139" s="116"/>
      <c r="CJ139" s="116"/>
      <c r="CK139" s="116"/>
      <c r="CL139" s="116"/>
      <c r="CM139" s="116"/>
      <c r="CN139" s="116"/>
      <c r="CO139" s="116"/>
      <c r="CP139" s="116"/>
      <c r="CQ139" s="116"/>
      <c r="CR139" s="116"/>
      <c r="CS139" s="116"/>
      <c r="CT139" s="116"/>
      <c r="CU139" s="116"/>
      <c r="CV139" s="116"/>
      <c r="CW139" s="116"/>
      <c r="CX139" s="116"/>
      <c r="CY139" s="116"/>
      <c r="CZ139" s="116"/>
      <c r="DA139" s="116"/>
      <c r="DB139" s="116"/>
      <c r="DC139" s="116"/>
      <c r="DD139" s="116"/>
      <c r="DE139" s="116"/>
      <c r="DF139" s="116"/>
      <c r="DG139" s="116"/>
      <c r="DH139" s="116"/>
      <c r="DI139" s="116"/>
      <c r="DJ139" s="116"/>
      <c r="DK139" s="116"/>
      <c r="DL139" s="116"/>
      <c r="DM139" s="116"/>
      <c r="DN139" s="116"/>
      <c r="DO139" s="116"/>
      <c r="DP139" s="116"/>
      <c r="DQ139" s="116"/>
      <c r="DR139" s="116"/>
      <c r="DS139" s="116"/>
      <c r="DT139" s="116"/>
      <c r="DU139" s="116"/>
      <c r="DV139" s="116"/>
      <c r="DW139" s="116"/>
      <c r="DX139" s="116"/>
      <c r="DY139" s="116"/>
      <c r="DZ139" s="116"/>
      <c r="EA139" s="116"/>
      <c r="EB139" s="116"/>
      <c r="EC139" s="116"/>
      <c r="ED139" s="116"/>
      <c r="EE139" s="116"/>
      <c r="EF139" s="116"/>
      <c r="EG139" s="116"/>
      <c r="EH139" s="116"/>
      <c r="EI139" s="116"/>
      <c r="EJ139" s="116"/>
      <c r="EK139" s="116"/>
      <c r="EL139" s="116"/>
      <c r="EM139" s="116"/>
      <c r="EN139" s="116"/>
      <c r="EO139" s="116"/>
      <c r="EP139" s="116"/>
      <c r="EQ139" s="116"/>
      <c r="ER139" s="116"/>
      <c r="ES139" s="116"/>
      <c r="ET139" s="116"/>
      <c r="EU139" s="116"/>
      <c r="EV139" s="116"/>
      <c r="EW139" s="116"/>
      <c r="EX139" s="116"/>
      <c r="EY139" s="116"/>
      <c r="EZ139" s="116"/>
      <c r="FA139" s="116"/>
      <c r="FB139" s="116"/>
      <c r="FC139" s="116"/>
      <c r="FD139" s="116"/>
      <c r="FE139" s="116"/>
      <c r="FF139" s="116"/>
      <c r="FG139" s="116"/>
      <c r="FH139" s="116"/>
      <c r="FI139" s="116"/>
      <c r="FJ139" s="116"/>
      <c r="FK139" s="116"/>
      <c r="FL139" s="116"/>
      <c r="FM139" s="116"/>
      <c r="FN139" s="116"/>
      <c r="FO139" s="116"/>
      <c r="FP139" s="116"/>
      <c r="FQ139" s="116"/>
      <c r="FR139" s="116"/>
      <c r="FS139" s="116"/>
      <c r="FT139" s="116"/>
      <c r="FU139" s="116"/>
      <c r="FV139" s="116"/>
      <c r="FW139" s="116"/>
      <c r="FX139" s="116"/>
      <c r="FY139" s="116"/>
      <c r="FZ139" s="116"/>
      <c r="GA139" s="116"/>
      <c r="GB139" s="116"/>
      <c r="GC139" s="116"/>
      <c r="GD139" s="116"/>
      <c r="GE139" s="116"/>
      <c r="GF139" s="116"/>
      <c r="GG139" s="116"/>
      <c r="GH139" s="116"/>
      <c r="GI139" s="116"/>
      <c r="GJ139" s="116"/>
      <c r="GK139" s="116"/>
      <c r="GL139" s="116"/>
      <c r="GM139" s="116"/>
      <c r="GN139" s="116"/>
      <c r="GO139" s="116"/>
      <c r="GP139" s="116"/>
      <c r="GQ139" s="116"/>
      <c r="GR139" s="116"/>
      <c r="GS139" s="116"/>
      <c r="GT139" s="116"/>
      <c r="GU139" s="116"/>
      <c r="GV139" s="116"/>
      <c r="GW139" s="116"/>
      <c r="GX139" s="116"/>
      <c r="GY139" s="116"/>
      <c r="GZ139" s="116"/>
      <c r="HA139" s="116"/>
      <c r="HB139" s="116"/>
      <c r="HC139" s="116"/>
      <c r="HD139" s="116"/>
      <c r="HE139" s="116"/>
      <c r="HF139" s="116"/>
      <c r="HG139" s="116"/>
      <c r="HH139" s="116"/>
      <c r="HI139" s="116"/>
      <c r="HJ139" s="116"/>
      <c r="HK139" s="116"/>
      <c r="HL139" s="116"/>
      <c r="HM139" s="116"/>
      <c r="HN139" s="116"/>
      <c r="HO139" s="116"/>
      <c r="HP139" s="116"/>
      <c r="HQ139" s="116"/>
      <c r="HR139" s="116"/>
      <c r="HS139" s="116"/>
      <c r="HT139" s="116"/>
      <c r="HU139" s="116"/>
      <c r="HV139" s="116"/>
      <c r="HW139" s="116"/>
      <c r="HX139" s="116"/>
      <c r="HY139" s="116"/>
      <c r="HZ139" s="116"/>
      <c r="IA139" s="116"/>
      <c r="IB139" s="116"/>
      <c r="IC139" s="116"/>
      <c r="ID139" s="116"/>
      <c r="IE139" s="116"/>
      <c r="IF139" s="116"/>
      <c r="IG139" s="116"/>
      <c r="IH139" s="116"/>
      <c r="II139" s="116"/>
      <c r="IJ139" s="116"/>
      <c r="IK139" s="116"/>
      <c r="IL139" s="116"/>
      <c r="IM139" s="116"/>
      <c r="IN139" s="116"/>
      <c r="IO139" s="116"/>
      <c r="IP139" s="116"/>
      <c r="IQ139" s="116"/>
      <c r="IR139" s="116"/>
      <c r="IS139" s="116"/>
      <c r="IT139" s="116"/>
      <c r="IU139" s="116"/>
      <c r="IV139" s="116"/>
      <c r="IW139" s="116"/>
      <c r="IX139" s="116"/>
      <c r="IY139" s="116"/>
      <c r="IZ139" s="116"/>
    </row>
    <row r="140" spans="1:260" s="35" customFormat="1" x14ac:dyDescent="0.3">
      <c r="A140" s="1"/>
      <c r="B140" s="201" t="s">
        <v>230</v>
      </c>
      <c r="C140" s="230">
        <f>+C136-(C137+C138+C139)</f>
        <v>0</v>
      </c>
      <c r="D140" s="230">
        <f>+D136-(D137+D138+D139)</f>
        <v>-7408677745.7453308</v>
      </c>
      <c r="E140" s="230">
        <f t="shared" ref="E140:G140" si="31">+E136-(E137+E138+E139)</f>
        <v>-8203809222.2106934</v>
      </c>
      <c r="F140" s="230">
        <f t="shared" si="31"/>
        <v>26781725037.967499</v>
      </c>
      <c r="G140" s="230">
        <f t="shared" si="31"/>
        <v>30139953065.888336</v>
      </c>
      <c r="H140" s="230">
        <f>+H136-(H137+H138+H139)</f>
        <v>33883813295.537292</v>
      </c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  <c r="BY140" s="130"/>
      <c r="BZ140" s="130"/>
      <c r="CA140" s="130"/>
      <c r="CB140" s="130"/>
      <c r="CC140" s="130"/>
      <c r="CD140" s="130"/>
      <c r="CE140" s="130"/>
      <c r="CF140" s="130"/>
      <c r="CG140" s="130"/>
      <c r="CH140" s="130"/>
      <c r="CI140" s="130"/>
      <c r="CJ140" s="130"/>
      <c r="CK140" s="130"/>
      <c r="CL140" s="130"/>
      <c r="CM140" s="130"/>
      <c r="CN140" s="130"/>
      <c r="CO140" s="130"/>
      <c r="CP140" s="130"/>
      <c r="CQ140" s="130"/>
      <c r="CR140" s="130"/>
      <c r="CS140" s="130"/>
      <c r="CT140" s="130"/>
      <c r="CU140" s="130"/>
      <c r="CV140" s="130"/>
      <c r="CW140" s="130"/>
      <c r="CX140" s="130"/>
      <c r="CY140" s="130"/>
      <c r="CZ140" s="130"/>
      <c r="DA140" s="130"/>
      <c r="DB140" s="130"/>
      <c r="DC140" s="130"/>
      <c r="DD140" s="130"/>
      <c r="DE140" s="130"/>
      <c r="DF140" s="130"/>
      <c r="DG140" s="130"/>
      <c r="DH140" s="130"/>
      <c r="DI140" s="130"/>
      <c r="DJ140" s="130"/>
      <c r="DK140" s="130"/>
      <c r="DL140" s="130"/>
      <c r="DM140" s="130"/>
      <c r="DN140" s="130"/>
      <c r="DO140" s="130"/>
      <c r="DP140" s="130"/>
      <c r="DQ140" s="130"/>
      <c r="DR140" s="130"/>
      <c r="DS140" s="130"/>
      <c r="DT140" s="130"/>
      <c r="DU140" s="130"/>
      <c r="DV140" s="130"/>
      <c r="DW140" s="130"/>
      <c r="DX140" s="130"/>
      <c r="DY140" s="130"/>
      <c r="DZ140" s="130"/>
      <c r="EA140" s="130"/>
      <c r="EB140" s="130"/>
      <c r="EC140" s="130"/>
      <c r="ED140" s="130"/>
      <c r="EE140" s="130"/>
      <c r="EF140" s="130"/>
      <c r="EG140" s="130"/>
      <c r="EH140" s="130"/>
      <c r="EI140" s="130"/>
      <c r="EJ140" s="130"/>
      <c r="EK140" s="130"/>
      <c r="EL140" s="130"/>
      <c r="EM140" s="130"/>
      <c r="EN140" s="130"/>
      <c r="EO140" s="130"/>
      <c r="EP140" s="130"/>
      <c r="EQ140" s="130"/>
      <c r="ER140" s="130"/>
      <c r="ES140" s="130"/>
      <c r="ET140" s="130"/>
      <c r="EU140" s="130"/>
      <c r="EV140" s="130"/>
      <c r="EW140" s="130"/>
      <c r="EX140" s="130"/>
      <c r="EY140" s="130"/>
      <c r="EZ140" s="130"/>
      <c r="FA140" s="130"/>
      <c r="FB140" s="130"/>
      <c r="FC140" s="130"/>
      <c r="FD140" s="130"/>
      <c r="FE140" s="130"/>
      <c r="FF140" s="130"/>
      <c r="FG140" s="130"/>
      <c r="FH140" s="130"/>
      <c r="FI140" s="130"/>
      <c r="FJ140" s="130"/>
      <c r="FK140" s="130"/>
      <c r="FL140" s="130"/>
      <c r="FM140" s="130"/>
      <c r="FN140" s="130"/>
      <c r="FO140" s="130"/>
      <c r="FP140" s="130"/>
      <c r="FQ140" s="130"/>
      <c r="FR140" s="130"/>
      <c r="FS140" s="130"/>
      <c r="FT140" s="130"/>
      <c r="FU140" s="130"/>
      <c r="FV140" s="130"/>
      <c r="FW140" s="130"/>
      <c r="FX140" s="130"/>
      <c r="FY140" s="130"/>
      <c r="FZ140" s="130"/>
      <c r="GA140" s="130"/>
      <c r="GB140" s="130"/>
      <c r="GC140" s="130"/>
      <c r="GD140" s="130"/>
      <c r="GE140" s="130"/>
      <c r="GF140" s="130"/>
      <c r="GG140" s="130"/>
      <c r="GH140" s="130"/>
      <c r="GI140" s="130"/>
      <c r="GJ140" s="130"/>
      <c r="GK140" s="130"/>
      <c r="GL140" s="130"/>
      <c r="GM140" s="130"/>
      <c r="GN140" s="130"/>
      <c r="GO140" s="130"/>
      <c r="GP140" s="130"/>
      <c r="GQ140" s="130"/>
      <c r="GR140" s="130"/>
      <c r="GS140" s="130"/>
      <c r="GT140" s="130"/>
      <c r="GU140" s="130"/>
      <c r="GV140" s="130"/>
      <c r="GW140" s="130"/>
      <c r="GX140" s="130"/>
      <c r="GY140" s="130"/>
      <c r="GZ140" s="130"/>
      <c r="HA140" s="130"/>
      <c r="HB140" s="130"/>
      <c r="HC140" s="130"/>
      <c r="HD140" s="130"/>
      <c r="HE140" s="130"/>
      <c r="HF140" s="130"/>
      <c r="HG140" s="130"/>
      <c r="HH140" s="130"/>
      <c r="HI140" s="130"/>
      <c r="HJ140" s="130"/>
      <c r="HK140" s="130"/>
      <c r="HL140" s="130"/>
      <c r="HM140" s="130"/>
      <c r="HN140" s="130"/>
      <c r="HO140" s="130"/>
      <c r="HP140" s="130"/>
      <c r="HQ140" s="130"/>
      <c r="HR140" s="130"/>
      <c r="HS140" s="130"/>
      <c r="HT140" s="130"/>
      <c r="HU140" s="130"/>
      <c r="HV140" s="130"/>
      <c r="HW140" s="130"/>
      <c r="HX140" s="130"/>
      <c r="HY140" s="130"/>
      <c r="HZ140" s="130"/>
      <c r="IA140" s="130"/>
      <c r="IB140" s="130"/>
      <c r="IC140" s="130"/>
      <c r="ID140" s="130"/>
      <c r="IE140" s="130"/>
      <c r="IF140" s="130"/>
      <c r="IG140" s="130"/>
      <c r="IH140" s="130"/>
      <c r="II140" s="130"/>
      <c r="IJ140" s="130"/>
      <c r="IK140" s="130"/>
      <c r="IL140" s="130"/>
      <c r="IM140" s="130"/>
      <c r="IN140" s="130"/>
      <c r="IO140" s="130"/>
      <c r="IP140" s="130"/>
      <c r="IQ140" s="130"/>
      <c r="IR140" s="130"/>
      <c r="IS140" s="130"/>
      <c r="IT140" s="130"/>
      <c r="IU140" s="130"/>
      <c r="IV140" s="130"/>
      <c r="IW140" s="130"/>
      <c r="IX140" s="130"/>
      <c r="IY140" s="130"/>
      <c r="IZ140" s="130"/>
    </row>
    <row r="141" spans="1:260" s="35" customFormat="1" x14ac:dyDescent="0.3">
      <c r="A141" s="1"/>
      <c r="B141" s="141" t="s">
        <v>203</v>
      </c>
      <c r="C141" s="236"/>
      <c r="D141" s="236">
        <f t="shared" ref="D141:H142" si="32">+D103</f>
        <v>3000000</v>
      </c>
      <c r="E141" s="236">
        <f t="shared" si="32"/>
        <v>3000000</v>
      </c>
      <c r="F141" s="236">
        <f t="shared" si="32"/>
        <v>3000000</v>
      </c>
      <c r="G141" s="236">
        <f t="shared" si="32"/>
        <v>3000000</v>
      </c>
      <c r="H141" s="236">
        <f t="shared" si="32"/>
        <v>3000000</v>
      </c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  <c r="BD141" s="116"/>
      <c r="BE141" s="116"/>
      <c r="BF141" s="116"/>
      <c r="BG141" s="116"/>
      <c r="BH141" s="116"/>
      <c r="BI141" s="116"/>
      <c r="BJ141" s="116"/>
      <c r="BK141" s="116"/>
      <c r="BL141" s="116"/>
      <c r="BM141" s="116"/>
      <c r="BN141" s="116"/>
      <c r="BO141" s="116"/>
      <c r="BP141" s="116"/>
      <c r="BQ141" s="116"/>
      <c r="BR141" s="116"/>
      <c r="BS141" s="116"/>
      <c r="BT141" s="116"/>
      <c r="BU141" s="116"/>
      <c r="BV141" s="116"/>
      <c r="BW141" s="116"/>
      <c r="BX141" s="116"/>
      <c r="BY141" s="116"/>
      <c r="BZ141" s="116"/>
      <c r="CA141" s="116"/>
      <c r="CB141" s="116"/>
      <c r="CC141" s="116"/>
      <c r="CD141" s="116"/>
      <c r="CE141" s="116"/>
      <c r="CF141" s="116"/>
      <c r="CG141" s="116"/>
      <c r="CH141" s="116"/>
      <c r="CI141" s="116"/>
      <c r="CJ141" s="116"/>
      <c r="CK141" s="116"/>
      <c r="CL141" s="116"/>
      <c r="CM141" s="116"/>
      <c r="CN141" s="116"/>
      <c r="CO141" s="116"/>
      <c r="CP141" s="116"/>
      <c r="CQ141" s="116"/>
      <c r="CR141" s="116"/>
      <c r="CS141" s="116"/>
      <c r="CT141" s="116"/>
      <c r="CU141" s="116"/>
      <c r="CV141" s="116"/>
      <c r="CW141" s="116"/>
      <c r="CX141" s="116"/>
      <c r="CY141" s="116"/>
      <c r="CZ141" s="116"/>
      <c r="DA141" s="116"/>
      <c r="DB141" s="116"/>
      <c r="DC141" s="116"/>
      <c r="DD141" s="116"/>
      <c r="DE141" s="116"/>
      <c r="DF141" s="116"/>
      <c r="DG141" s="116"/>
      <c r="DH141" s="116"/>
      <c r="DI141" s="116"/>
      <c r="DJ141" s="116"/>
      <c r="DK141" s="116"/>
      <c r="DL141" s="116"/>
      <c r="DM141" s="116"/>
      <c r="DN141" s="116"/>
      <c r="DO141" s="116"/>
      <c r="DP141" s="116"/>
      <c r="DQ141" s="116"/>
      <c r="DR141" s="116"/>
      <c r="DS141" s="116"/>
      <c r="DT141" s="116"/>
      <c r="DU141" s="116"/>
      <c r="DV141" s="116"/>
      <c r="DW141" s="116"/>
      <c r="DX141" s="116"/>
      <c r="DY141" s="116"/>
      <c r="DZ141" s="116"/>
      <c r="EA141" s="116"/>
      <c r="EB141" s="116"/>
      <c r="EC141" s="116"/>
      <c r="ED141" s="116"/>
      <c r="EE141" s="116"/>
      <c r="EF141" s="116"/>
      <c r="EG141" s="116"/>
      <c r="EH141" s="116"/>
      <c r="EI141" s="116"/>
      <c r="EJ141" s="116"/>
      <c r="EK141" s="116"/>
      <c r="EL141" s="116"/>
      <c r="EM141" s="116"/>
      <c r="EN141" s="116"/>
      <c r="EO141" s="116"/>
      <c r="EP141" s="116"/>
      <c r="EQ141" s="116"/>
      <c r="ER141" s="116"/>
      <c r="ES141" s="116"/>
      <c r="ET141" s="116"/>
      <c r="EU141" s="116"/>
      <c r="EV141" s="116"/>
      <c r="EW141" s="116"/>
      <c r="EX141" s="116"/>
      <c r="EY141" s="116"/>
      <c r="EZ141" s="116"/>
      <c r="FA141" s="116"/>
      <c r="FB141" s="116"/>
      <c r="FC141" s="116"/>
      <c r="FD141" s="116"/>
      <c r="FE141" s="116"/>
      <c r="FF141" s="116"/>
      <c r="FG141" s="116"/>
      <c r="FH141" s="116"/>
      <c r="FI141" s="116"/>
      <c r="FJ141" s="116"/>
      <c r="FK141" s="116"/>
      <c r="FL141" s="116"/>
      <c r="FM141" s="116"/>
      <c r="FN141" s="116"/>
      <c r="FO141" s="116"/>
      <c r="FP141" s="116"/>
      <c r="FQ141" s="116"/>
      <c r="FR141" s="116"/>
      <c r="FS141" s="116"/>
      <c r="FT141" s="116"/>
      <c r="FU141" s="116"/>
      <c r="FV141" s="116"/>
      <c r="FW141" s="116"/>
      <c r="FX141" s="116"/>
      <c r="FY141" s="116"/>
      <c r="FZ141" s="116"/>
      <c r="GA141" s="116"/>
      <c r="GB141" s="116"/>
      <c r="GC141" s="116"/>
      <c r="GD141" s="116"/>
      <c r="GE141" s="116"/>
      <c r="GF141" s="116"/>
      <c r="GG141" s="116"/>
      <c r="GH141" s="116"/>
      <c r="GI141" s="116"/>
      <c r="GJ141" s="116"/>
      <c r="GK141" s="116"/>
      <c r="GL141" s="116"/>
      <c r="GM141" s="116"/>
      <c r="GN141" s="116"/>
      <c r="GO141" s="116"/>
      <c r="GP141" s="116"/>
      <c r="GQ141" s="116"/>
      <c r="GR141" s="116"/>
      <c r="GS141" s="116"/>
      <c r="GT141" s="116"/>
      <c r="GU141" s="116"/>
      <c r="GV141" s="116"/>
      <c r="GW141" s="116"/>
      <c r="GX141" s="116"/>
      <c r="GY141" s="116"/>
      <c r="GZ141" s="116"/>
      <c r="HA141" s="116"/>
      <c r="HB141" s="116"/>
      <c r="HC141" s="116"/>
      <c r="HD141" s="116"/>
      <c r="HE141" s="116"/>
      <c r="HF141" s="116"/>
      <c r="HG141" s="116"/>
      <c r="HH141" s="116"/>
      <c r="HI141" s="116"/>
      <c r="HJ141" s="116"/>
      <c r="HK141" s="116"/>
      <c r="HL141" s="116"/>
      <c r="HM141" s="116"/>
      <c r="HN141" s="116"/>
      <c r="HO141" s="116"/>
      <c r="HP141" s="116"/>
      <c r="HQ141" s="116"/>
      <c r="HR141" s="116"/>
      <c r="HS141" s="116"/>
      <c r="HT141" s="116"/>
      <c r="HU141" s="116"/>
      <c r="HV141" s="116"/>
      <c r="HW141" s="116"/>
      <c r="HX141" s="116"/>
      <c r="HY141" s="116"/>
      <c r="HZ141" s="116"/>
      <c r="IA141" s="116"/>
      <c r="IB141" s="116"/>
      <c r="IC141" s="116"/>
      <c r="ID141" s="116"/>
      <c r="IE141" s="116"/>
      <c r="IF141" s="116"/>
      <c r="IG141" s="116"/>
      <c r="IH141" s="116"/>
      <c r="II141" s="116"/>
      <c r="IJ141" s="116"/>
      <c r="IK141" s="116"/>
      <c r="IL141" s="116"/>
      <c r="IM141" s="116"/>
      <c r="IN141" s="116"/>
      <c r="IO141" s="116"/>
      <c r="IP141" s="116"/>
      <c r="IQ141" s="116"/>
      <c r="IR141" s="116"/>
      <c r="IS141" s="116"/>
      <c r="IT141" s="116"/>
      <c r="IU141" s="116"/>
      <c r="IV141" s="116"/>
      <c r="IW141" s="116"/>
      <c r="IX141" s="116"/>
      <c r="IY141" s="116"/>
      <c r="IZ141" s="116"/>
    </row>
    <row r="142" spans="1:260" s="35" customFormat="1" x14ac:dyDescent="0.3">
      <c r="A142" s="1"/>
      <c r="B142" s="141" t="s">
        <v>204</v>
      </c>
      <c r="C142" s="236"/>
      <c r="D142" s="236">
        <f t="shared" si="32"/>
        <v>5016000</v>
      </c>
      <c r="E142" s="236">
        <f t="shared" si="32"/>
        <v>5016000</v>
      </c>
      <c r="F142" s="236">
        <f t="shared" si="32"/>
        <v>5016000</v>
      </c>
      <c r="G142" s="236">
        <f t="shared" si="32"/>
        <v>5016000</v>
      </c>
      <c r="H142" s="236">
        <f t="shared" si="32"/>
        <v>5016000</v>
      </c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  <c r="BD142" s="116"/>
      <c r="BE142" s="116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6"/>
      <c r="BQ142" s="116"/>
      <c r="BR142" s="116"/>
      <c r="BS142" s="116"/>
      <c r="BT142" s="116"/>
      <c r="BU142" s="116"/>
      <c r="BV142" s="116"/>
      <c r="BW142" s="116"/>
      <c r="BX142" s="116"/>
      <c r="BY142" s="116"/>
      <c r="BZ142" s="116"/>
      <c r="CA142" s="116"/>
      <c r="CB142" s="116"/>
      <c r="CC142" s="116"/>
      <c r="CD142" s="116"/>
      <c r="CE142" s="116"/>
      <c r="CF142" s="116"/>
      <c r="CG142" s="116"/>
      <c r="CH142" s="116"/>
      <c r="CI142" s="116"/>
      <c r="CJ142" s="116"/>
      <c r="CK142" s="116"/>
      <c r="CL142" s="116"/>
      <c r="CM142" s="116"/>
      <c r="CN142" s="116"/>
      <c r="CO142" s="116"/>
      <c r="CP142" s="116"/>
      <c r="CQ142" s="116"/>
      <c r="CR142" s="116"/>
      <c r="CS142" s="116"/>
      <c r="CT142" s="116"/>
      <c r="CU142" s="116"/>
      <c r="CV142" s="116"/>
      <c r="CW142" s="116"/>
      <c r="CX142" s="116"/>
      <c r="CY142" s="116"/>
      <c r="CZ142" s="116"/>
      <c r="DA142" s="116"/>
      <c r="DB142" s="116"/>
      <c r="DC142" s="116"/>
      <c r="DD142" s="116"/>
      <c r="DE142" s="116"/>
      <c r="DF142" s="116"/>
      <c r="DG142" s="116"/>
      <c r="DH142" s="116"/>
      <c r="DI142" s="116"/>
      <c r="DJ142" s="116"/>
      <c r="DK142" s="116"/>
      <c r="DL142" s="116"/>
      <c r="DM142" s="116"/>
      <c r="DN142" s="116"/>
      <c r="DO142" s="116"/>
      <c r="DP142" s="116"/>
      <c r="DQ142" s="116"/>
      <c r="DR142" s="116"/>
      <c r="DS142" s="116"/>
      <c r="DT142" s="116"/>
      <c r="DU142" s="116"/>
      <c r="DV142" s="116"/>
      <c r="DW142" s="116"/>
      <c r="DX142" s="116"/>
      <c r="DY142" s="116"/>
      <c r="DZ142" s="116"/>
      <c r="EA142" s="116"/>
      <c r="EB142" s="116"/>
      <c r="EC142" s="116"/>
      <c r="ED142" s="116"/>
      <c r="EE142" s="116"/>
      <c r="EF142" s="116"/>
      <c r="EG142" s="116"/>
      <c r="EH142" s="116"/>
      <c r="EI142" s="116"/>
      <c r="EJ142" s="116"/>
      <c r="EK142" s="116"/>
      <c r="EL142" s="116"/>
      <c r="EM142" s="116"/>
      <c r="EN142" s="116"/>
      <c r="EO142" s="116"/>
      <c r="EP142" s="116"/>
      <c r="EQ142" s="116"/>
      <c r="ER142" s="116"/>
      <c r="ES142" s="116"/>
      <c r="ET142" s="116"/>
      <c r="EU142" s="116"/>
      <c r="EV142" s="116"/>
      <c r="EW142" s="116"/>
      <c r="EX142" s="116"/>
      <c r="EY142" s="116"/>
      <c r="EZ142" s="116"/>
      <c r="FA142" s="116"/>
      <c r="FB142" s="116"/>
      <c r="FC142" s="116"/>
      <c r="FD142" s="116"/>
      <c r="FE142" s="116"/>
      <c r="FF142" s="116"/>
      <c r="FG142" s="116"/>
      <c r="FH142" s="116"/>
      <c r="FI142" s="116"/>
      <c r="FJ142" s="116"/>
      <c r="FK142" s="116"/>
      <c r="FL142" s="116"/>
      <c r="FM142" s="116"/>
      <c r="FN142" s="116"/>
      <c r="FO142" s="116"/>
      <c r="FP142" s="116"/>
      <c r="FQ142" s="116"/>
      <c r="FR142" s="116"/>
      <c r="FS142" s="116"/>
      <c r="FT142" s="116"/>
      <c r="FU142" s="116"/>
      <c r="FV142" s="116"/>
      <c r="FW142" s="116"/>
      <c r="FX142" s="116"/>
      <c r="FY142" s="116"/>
      <c r="FZ142" s="116"/>
      <c r="GA142" s="116"/>
      <c r="GB142" s="116"/>
      <c r="GC142" s="116"/>
      <c r="GD142" s="116"/>
      <c r="GE142" s="116"/>
      <c r="GF142" s="116"/>
      <c r="GG142" s="116"/>
      <c r="GH142" s="116"/>
      <c r="GI142" s="116"/>
      <c r="GJ142" s="116"/>
      <c r="GK142" s="116"/>
      <c r="GL142" s="116"/>
      <c r="GM142" s="116"/>
      <c r="GN142" s="116"/>
      <c r="GO142" s="116"/>
      <c r="GP142" s="116"/>
      <c r="GQ142" s="116"/>
      <c r="GR142" s="116"/>
      <c r="GS142" s="116"/>
      <c r="GT142" s="116"/>
      <c r="GU142" s="116"/>
      <c r="GV142" s="116"/>
      <c r="GW142" s="116"/>
      <c r="GX142" s="116"/>
      <c r="GY142" s="116"/>
      <c r="GZ142" s="116"/>
      <c r="HA142" s="116"/>
      <c r="HB142" s="116"/>
      <c r="HC142" s="116"/>
      <c r="HD142" s="116"/>
      <c r="HE142" s="116"/>
      <c r="HF142" s="116"/>
      <c r="HG142" s="116"/>
      <c r="HH142" s="116"/>
      <c r="HI142" s="116"/>
      <c r="HJ142" s="116"/>
      <c r="HK142" s="116"/>
      <c r="HL142" s="116"/>
      <c r="HM142" s="116"/>
      <c r="HN142" s="116"/>
      <c r="HO142" s="116"/>
      <c r="HP142" s="116"/>
      <c r="HQ142" s="116"/>
      <c r="HR142" s="116"/>
      <c r="HS142" s="116"/>
      <c r="HT142" s="116"/>
      <c r="HU142" s="116"/>
      <c r="HV142" s="116"/>
      <c r="HW142" s="116"/>
      <c r="HX142" s="116"/>
      <c r="HY142" s="116"/>
      <c r="HZ142" s="116"/>
      <c r="IA142" s="116"/>
      <c r="IB142" s="116"/>
      <c r="IC142" s="116"/>
      <c r="ID142" s="116"/>
      <c r="IE142" s="116"/>
      <c r="IF142" s="116"/>
      <c r="IG142" s="116"/>
      <c r="IH142" s="116"/>
      <c r="II142" s="116"/>
      <c r="IJ142" s="116"/>
      <c r="IK142" s="116"/>
      <c r="IL142" s="116"/>
      <c r="IM142" s="116"/>
      <c r="IN142" s="116"/>
      <c r="IO142" s="116"/>
      <c r="IP142" s="116"/>
      <c r="IQ142" s="116"/>
      <c r="IR142" s="116"/>
      <c r="IS142" s="116"/>
      <c r="IT142" s="116"/>
      <c r="IU142" s="116"/>
      <c r="IV142" s="116"/>
      <c r="IW142" s="116"/>
      <c r="IX142" s="116"/>
      <c r="IY142" s="116"/>
      <c r="IZ142" s="116"/>
    </row>
    <row r="143" spans="1:260" s="35" customFormat="1" x14ac:dyDescent="0.3">
      <c r="A143" s="1"/>
      <c r="B143" s="202" t="s">
        <v>205</v>
      </c>
      <c r="C143" s="237"/>
      <c r="D143" s="237">
        <f>+D126</f>
        <v>12445000</v>
      </c>
      <c r="E143" s="237">
        <f>+D127</f>
        <v>10925361.619787194</v>
      </c>
      <c r="F143" s="237">
        <f>+D128</f>
        <v>9027485.2467394192</v>
      </c>
      <c r="G143" s="237">
        <f>+D129</f>
        <v>6657227.4444400547</v>
      </c>
      <c r="H143" s="167">
        <f>+D130</f>
        <v>3697012.4751483779</v>
      </c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  <c r="BD143" s="116"/>
      <c r="BE143" s="116"/>
      <c r="BF143" s="116"/>
      <c r="BG143" s="116"/>
      <c r="BH143" s="116"/>
      <c r="BI143" s="116"/>
      <c r="BJ143" s="116"/>
      <c r="BK143" s="116"/>
      <c r="BL143" s="116"/>
      <c r="BM143" s="116"/>
      <c r="BN143" s="116"/>
      <c r="BO143" s="116"/>
      <c r="BP143" s="116"/>
      <c r="BQ143" s="116"/>
      <c r="BR143" s="116"/>
      <c r="BS143" s="116"/>
      <c r="BT143" s="116"/>
      <c r="BU143" s="116"/>
      <c r="BV143" s="116"/>
      <c r="BW143" s="116"/>
      <c r="BX143" s="116"/>
      <c r="BY143" s="116"/>
      <c r="BZ143" s="116"/>
      <c r="CA143" s="116"/>
      <c r="CB143" s="116"/>
      <c r="CC143" s="116"/>
      <c r="CD143" s="116"/>
      <c r="CE143" s="116"/>
      <c r="CF143" s="116"/>
      <c r="CG143" s="116"/>
      <c r="CH143" s="116"/>
      <c r="CI143" s="116"/>
      <c r="CJ143" s="116"/>
      <c r="CK143" s="116"/>
      <c r="CL143" s="116"/>
      <c r="CM143" s="116"/>
      <c r="CN143" s="116"/>
      <c r="CO143" s="116"/>
      <c r="CP143" s="116"/>
      <c r="CQ143" s="116"/>
      <c r="CR143" s="116"/>
      <c r="CS143" s="116"/>
      <c r="CT143" s="116"/>
      <c r="CU143" s="116"/>
      <c r="CV143" s="116"/>
      <c r="CW143" s="116"/>
      <c r="CX143" s="116"/>
      <c r="CY143" s="116"/>
      <c r="CZ143" s="116"/>
      <c r="DA143" s="116"/>
      <c r="DB143" s="116"/>
      <c r="DC143" s="116"/>
      <c r="DD143" s="116"/>
      <c r="DE143" s="116"/>
      <c r="DF143" s="116"/>
      <c r="DG143" s="116"/>
      <c r="DH143" s="116"/>
      <c r="DI143" s="116"/>
      <c r="DJ143" s="116"/>
      <c r="DK143" s="116"/>
      <c r="DL143" s="116"/>
      <c r="DM143" s="116"/>
      <c r="DN143" s="116"/>
      <c r="DO143" s="116"/>
      <c r="DP143" s="116"/>
      <c r="DQ143" s="116"/>
      <c r="DR143" s="116"/>
      <c r="DS143" s="116"/>
      <c r="DT143" s="116"/>
      <c r="DU143" s="116"/>
      <c r="DV143" s="116"/>
      <c r="DW143" s="116"/>
      <c r="DX143" s="116"/>
      <c r="DY143" s="116"/>
      <c r="DZ143" s="116"/>
      <c r="EA143" s="116"/>
      <c r="EB143" s="116"/>
      <c r="EC143" s="116"/>
      <c r="ED143" s="116"/>
      <c r="EE143" s="116"/>
      <c r="EF143" s="116"/>
      <c r="EG143" s="116"/>
      <c r="EH143" s="116"/>
      <c r="EI143" s="116"/>
      <c r="EJ143" s="116"/>
      <c r="EK143" s="116"/>
      <c r="EL143" s="116"/>
      <c r="EM143" s="116"/>
      <c r="EN143" s="116"/>
      <c r="EO143" s="116"/>
      <c r="EP143" s="116"/>
      <c r="EQ143" s="116"/>
      <c r="ER143" s="116"/>
      <c r="ES143" s="116"/>
      <c r="ET143" s="116"/>
      <c r="EU143" s="116"/>
      <c r="EV143" s="116"/>
      <c r="EW143" s="116"/>
      <c r="EX143" s="116"/>
      <c r="EY143" s="116"/>
      <c r="EZ143" s="116"/>
      <c r="FA143" s="116"/>
      <c r="FB143" s="116"/>
      <c r="FC143" s="116"/>
      <c r="FD143" s="116"/>
      <c r="FE143" s="116"/>
      <c r="FF143" s="116"/>
      <c r="FG143" s="116"/>
      <c r="FH143" s="116"/>
      <c r="FI143" s="116"/>
      <c r="FJ143" s="116"/>
      <c r="FK143" s="116"/>
      <c r="FL143" s="116"/>
      <c r="FM143" s="116"/>
      <c r="FN143" s="116"/>
      <c r="FO143" s="116"/>
      <c r="FP143" s="116"/>
      <c r="FQ143" s="116"/>
      <c r="FR143" s="116"/>
      <c r="FS143" s="116"/>
      <c r="FT143" s="116"/>
      <c r="FU143" s="116"/>
      <c r="FV143" s="116"/>
      <c r="FW143" s="116"/>
      <c r="FX143" s="116"/>
      <c r="FY143" s="116"/>
      <c r="FZ143" s="116"/>
      <c r="GA143" s="116"/>
      <c r="GB143" s="116"/>
      <c r="GC143" s="116"/>
      <c r="GD143" s="116"/>
      <c r="GE143" s="116"/>
      <c r="GF143" s="116"/>
      <c r="GG143" s="116"/>
      <c r="GH143" s="116"/>
      <c r="GI143" s="116"/>
      <c r="GJ143" s="116"/>
      <c r="GK143" s="116"/>
      <c r="GL143" s="116"/>
      <c r="GM143" s="116"/>
      <c r="GN143" s="116"/>
      <c r="GO143" s="116"/>
      <c r="GP143" s="116"/>
      <c r="GQ143" s="116"/>
      <c r="GR143" s="116"/>
      <c r="GS143" s="116"/>
      <c r="GT143" s="116"/>
      <c r="GU143" s="116"/>
      <c r="GV143" s="116"/>
      <c r="GW143" s="116"/>
      <c r="GX143" s="116"/>
      <c r="GY143" s="116"/>
      <c r="GZ143" s="116"/>
      <c r="HA143" s="116"/>
      <c r="HB143" s="116"/>
      <c r="HC143" s="116"/>
      <c r="HD143" s="116"/>
      <c r="HE143" s="116"/>
      <c r="HF143" s="116"/>
      <c r="HG143" s="116"/>
      <c r="HH143" s="116"/>
      <c r="HI143" s="116"/>
      <c r="HJ143" s="116"/>
      <c r="HK143" s="116"/>
      <c r="HL143" s="116"/>
      <c r="HM143" s="116"/>
      <c r="HN143" s="116"/>
      <c r="HO143" s="116"/>
      <c r="HP143" s="116"/>
      <c r="HQ143" s="116"/>
      <c r="HR143" s="116"/>
      <c r="HS143" s="116"/>
      <c r="HT143" s="116"/>
      <c r="HU143" s="116"/>
      <c r="HV143" s="116"/>
      <c r="HW143" s="116"/>
      <c r="HX143" s="116"/>
      <c r="HY143" s="116"/>
      <c r="HZ143" s="116"/>
      <c r="IA143" s="116"/>
      <c r="IB143" s="116"/>
      <c r="IC143" s="116"/>
      <c r="ID143" s="116"/>
      <c r="IE143" s="116"/>
      <c r="IF143" s="116"/>
      <c r="IG143" s="116"/>
      <c r="IH143" s="116"/>
      <c r="II143" s="116"/>
      <c r="IJ143" s="116"/>
      <c r="IK143" s="116"/>
      <c r="IL143" s="116"/>
      <c r="IM143" s="116"/>
      <c r="IN143" s="116"/>
      <c r="IO143" s="116"/>
      <c r="IP143" s="116"/>
      <c r="IQ143" s="116"/>
      <c r="IR143" s="116"/>
      <c r="IS143" s="116"/>
      <c r="IT143" s="116"/>
      <c r="IU143" s="116"/>
      <c r="IV143" s="116"/>
      <c r="IW143" s="116"/>
      <c r="IX143" s="116"/>
      <c r="IY143" s="116"/>
      <c r="IZ143" s="116"/>
    </row>
    <row r="144" spans="1:260" s="35" customFormat="1" x14ac:dyDescent="0.3">
      <c r="A144" s="1"/>
      <c r="B144" s="244" t="s">
        <v>231</v>
      </c>
      <c r="C144" s="238">
        <f>+C140-C141-C142-C143</f>
        <v>0</v>
      </c>
      <c r="D144" s="238">
        <f t="shared" ref="D144:H144" si="33">+D140-D141-D142-D143</f>
        <v>-7429138745.7453308</v>
      </c>
      <c r="E144" s="238">
        <f t="shared" si="33"/>
        <v>-8222750583.8304806</v>
      </c>
      <c r="F144" s="238">
        <f t="shared" si="33"/>
        <v>26764681552.72076</v>
      </c>
      <c r="G144" s="238">
        <f t="shared" si="33"/>
        <v>30125279838.443897</v>
      </c>
      <c r="H144" s="238">
        <f t="shared" si="33"/>
        <v>33872100283.062145</v>
      </c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  <c r="BD144" s="116"/>
      <c r="BE144" s="116"/>
      <c r="BF144" s="116"/>
      <c r="BG144" s="116"/>
      <c r="BH144" s="116"/>
      <c r="BI144" s="116"/>
      <c r="BJ144" s="116"/>
      <c r="BK144" s="116"/>
      <c r="BL144" s="116"/>
      <c r="BM144" s="116"/>
      <c r="BN144" s="116"/>
      <c r="BO144" s="116"/>
      <c r="BP144" s="116"/>
      <c r="BQ144" s="116"/>
      <c r="BR144" s="116"/>
      <c r="BS144" s="116"/>
      <c r="BT144" s="116"/>
      <c r="BU144" s="116"/>
      <c r="BV144" s="116"/>
      <c r="BW144" s="116"/>
      <c r="BX144" s="116"/>
      <c r="BY144" s="116"/>
      <c r="BZ144" s="116"/>
      <c r="CA144" s="116"/>
      <c r="CB144" s="116"/>
      <c r="CC144" s="116"/>
      <c r="CD144" s="116"/>
      <c r="CE144" s="116"/>
      <c r="CF144" s="116"/>
      <c r="CG144" s="116"/>
      <c r="CH144" s="116"/>
      <c r="CI144" s="116"/>
      <c r="CJ144" s="116"/>
      <c r="CK144" s="116"/>
      <c r="CL144" s="116"/>
      <c r="CM144" s="116"/>
      <c r="CN144" s="116"/>
      <c r="CO144" s="116"/>
      <c r="CP144" s="116"/>
      <c r="CQ144" s="116"/>
      <c r="CR144" s="116"/>
      <c r="CS144" s="116"/>
      <c r="CT144" s="116"/>
      <c r="CU144" s="116"/>
      <c r="CV144" s="116"/>
      <c r="CW144" s="116"/>
      <c r="CX144" s="116"/>
      <c r="CY144" s="116"/>
      <c r="CZ144" s="116"/>
      <c r="DA144" s="116"/>
      <c r="DB144" s="116"/>
      <c r="DC144" s="116"/>
      <c r="DD144" s="116"/>
      <c r="DE144" s="116"/>
      <c r="DF144" s="116"/>
      <c r="DG144" s="116"/>
      <c r="DH144" s="116"/>
      <c r="DI144" s="116"/>
      <c r="DJ144" s="116"/>
      <c r="DK144" s="116"/>
      <c r="DL144" s="116"/>
      <c r="DM144" s="116"/>
      <c r="DN144" s="116"/>
      <c r="DO144" s="116"/>
      <c r="DP144" s="116"/>
      <c r="DQ144" s="116"/>
      <c r="DR144" s="116"/>
      <c r="DS144" s="116"/>
      <c r="DT144" s="116"/>
      <c r="DU144" s="116"/>
      <c r="DV144" s="116"/>
      <c r="DW144" s="116"/>
      <c r="DX144" s="116"/>
      <c r="DY144" s="116"/>
      <c r="DZ144" s="116"/>
      <c r="EA144" s="116"/>
      <c r="EB144" s="116"/>
      <c r="EC144" s="116"/>
      <c r="ED144" s="116"/>
      <c r="EE144" s="116"/>
      <c r="EF144" s="116"/>
      <c r="EG144" s="116"/>
      <c r="EH144" s="116"/>
      <c r="EI144" s="116"/>
      <c r="EJ144" s="116"/>
      <c r="EK144" s="116"/>
      <c r="EL144" s="116"/>
      <c r="EM144" s="116"/>
      <c r="EN144" s="116"/>
      <c r="EO144" s="116"/>
      <c r="EP144" s="116"/>
      <c r="EQ144" s="116"/>
      <c r="ER144" s="116"/>
      <c r="ES144" s="116"/>
      <c r="ET144" s="116"/>
      <c r="EU144" s="116"/>
      <c r="EV144" s="116"/>
      <c r="EW144" s="116"/>
      <c r="EX144" s="116"/>
      <c r="EY144" s="116"/>
      <c r="EZ144" s="116"/>
      <c r="FA144" s="116"/>
      <c r="FB144" s="116"/>
      <c r="FC144" s="116"/>
      <c r="FD144" s="116"/>
      <c r="FE144" s="116"/>
      <c r="FF144" s="116"/>
      <c r="FG144" s="116"/>
      <c r="FH144" s="116"/>
      <c r="FI144" s="116"/>
      <c r="FJ144" s="116"/>
      <c r="FK144" s="116"/>
      <c r="FL144" s="116"/>
      <c r="FM144" s="116"/>
      <c r="FN144" s="116"/>
      <c r="FO144" s="116"/>
      <c r="FP144" s="116"/>
      <c r="FQ144" s="116"/>
      <c r="FR144" s="116"/>
      <c r="FS144" s="116"/>
      <c r="FT144" s="116"/>
      <c r="FU144" s="116"/>
      <c r="FV144" s="116"/>
      <c r="FW144" s="116"/>
      <c r="FX144" s="116"/>
      <c r="FY144" s="116"/>
      <c r="FZ144" s="116"/>
      <c r="GA144" s="116"/>
      <c r="GB144" s="116"/>
      <c r="GC144" s="116"/>
      <c r="GD144" s="116"/>
      <c r="GE144" s="116"/>
      <c r="GF144" s="116"/>
      <c r="GG144" s="116"/>
      <c r="GH144" s="116"/>
      <c r="GI144" s="116"/>
      <c r="GJ144" s="116"/>
      <c r="GK144" s="116"/>
      <c r="GL144" s="116"/>
      <c r="GM144" s="116"/>
      <c r="GN144" s="116"/>
      <c r="GO144" s="116"/>
      <c r="GP144" s="116"/>
      <c r="GQ144" s="116"/>
      <c r="GR144" s="116"/>
      <c r="GS144" s="116"/>
      <c r="GT144" s="116"/>
      <c r="GU144" s="116"/>
      <c r="GV144" s="116"/>
      <c r="GW144" s="116"/>
      <c r="GX144" s="116"/>
      <c r="GY144" s="116"/>
      <c r="GZ144" s="116"/>
      <c r="HA144" s="116"/>
      <c r="HB144" s="116"/>
      <c r="HC144" s="116"/>
      <c r="HD144" s="116"/>
      <c r="HE144" s="116"/>
      <c r="HF144" s="116"/>
      <c r="HG144" s="116"/>
      <c r="HH144" s="116"/>
      <c r="HI144" s="116"/>
      <c r="HJ144" s="116"/>
      <c r="HK144" s="116"/>
      <c r="HL144" s="116"/>
      <c r="HM144" s="116"/>
      <c r="HN144" s="116"/>
      <c r="HO144" s="116"/>
      <c r="HP144" s="116"/>
      <c r="HQ144" s="116"/>
      <c r="HR144" s="116"/>
      <c r="HS144" s="116"/>
      <c r="HT144" s="116"/>
      <c r="HU144" s="116"/>
      <c r="HV144" s="116"/>
      <c r="HW144" s="116"/>
      <c r="HX144" s="116"/>
      <c r="HY144" s="116"/>
      <c r="HZ144" s="116"/>
      <c r="IA144" s="116"/>
      <c r="IB144" s="116"/>
      <c r="IC144" s="116"/>
      <c r="ID144" s="116"/>
      <c r="IE144" s="116"/>
      <c r="IF144" s="116"/>
      <c r="IG144" s="116"/>
      <c r="IH144" s="116"/>
      <c r="II144" s="116"/>
      <c r="IJ144" s="116"/>
      <c r="IK144" s="116"/>
      <c r="IL144" s="116"/>
      <c r="IM144" s="116"/>
      <c r="IN144" s="116"/>
      <c r="IO144" s="116"/>
      <c r="IP144" s="116"/>
      <c r="IQ144" s="116"/>
      <c r="IR144" s="116"/>
      <c r="IS144" s="116"/>
      <c r="IT144" s="116"/>
      <c r="IU144" s="116"/>
      <c r="IV144" s="116"/>
      <c r="IW144" s="116"/>
      <c r="IX144" s="116"/>
      <c r="IY144" s="116"/>
      <c r="IZ144" s="116"/>
    </row>
    <row r="145" spans="1:260" s="35" customFormat="1" x14ac:dyDescent="0.3">
      <c r="A145" s="1"/>
      <c r="B145" s="141" t="s">
        <v>184</v>
      </c>
      <c r="C145" s="236"/>
      <c r="D145" s="239">
        <v>0</v>
      </c>
      <c r="E145" s="239">
        <v>0</v>
      </c>
      <c r="F145" s="239">
        <f t="shared" ref="F145:H145" si="34">+F144*$C$75</f>
        <v>9367638543.4522648</v>
      </c>
      <c r="G145" s="239">
        <f t="shared" si="34"/>
        <v>10543847943.455364</v>
      </c>
      <c r="H145" s="239">
        <f t="shared" si="34"/>
        <v>11855235099.071751</v>
      </c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116"/>
      <c r="AZ145" s="116"/>
      <c r="BA145" s="116"/>
      <c r="BB145" s="116"/>
      <c r="BC145" s="116"/>
      <c r="BD145" s="116"/>
      <c r="BE145" s="116"/>
      <c r="BF145" s="116"/>
      <c r="BG145" s="116"/>
      <c r="BH145" s="116"/>
      <c r="BI145" s="116"/>
      <c r="BJ145" s="116"/>
      <c r="BK145" s="116"/>
      <c r="BL145" s="116"/>
      <c r="BM145" s="116"/>
      <c r="BN145" s="116"/>
      <c r="BO145" s="116"/>
      <c r="BP145" s="116"/>
      <c r="BQ145" s="116"/>
      <c r="BR145" s="116"/>
      <c r="BS145" s="116"/>
      <c r="BT145" s="116"/>
      <c r="BU145" s="116"/>
      <c r="BV145" s="116"/>
      <c r="BW145" s="116"/>
      <c r="BX145" s="116"/>
      <c r="BY145" s="116"/>
      <c r="BZ145" s="116"/>
      <c r="CA145" s="116"/>
      <c r="CB145" s="116"/>
      <c r="CC145" s="116"/>
      <c r="CD145" s="116"/>
      <c r="CE145" s="116"/>
      <c r="CF145" s="116"/>
      <c r="CG145" s="116"/>
      <c r="CH145" s="116"/>
      <c r="CI145" s="116"/>
      <c r="CJ145" s="116"/>
      <c r="CK145" s="116"/>
      <c r="CL145" s="116"/>
      <c r="CM145" s="116"/>
      <c r="CN145" s="116"/>
      <c r="CO145" s="116"/>
      <c r="CP145" s="116"/>
      <c r="CQ145" s="116"/>
      <c r="CR145" s="116"/>
      <c r="CS145" s="116"/>
      <c r="CT145" s="116"/>
      <c r="CU145" s="116"/>
      <c r="CV145" s="116"/>
      <c r="CW145" s="116"/>
      <c r="CX145" s="116"/>
      <c r="CY145" s="116"/>
      <c r="CZ145" s="116"/>
      <c r="DA145" s="116"/>
      <c r="DB145" s="116"/>
      <c r="DC145" s="116"/>
      <c r="DD145" s="116"/>
      <c r="DE145" s="116"/>
      <c r="DF145" s="116"/>
      <c r="DG145" s="116"/>
      <c r="DH145" s="116"/>
      <c r="DI145" s="116"/>
      <c r="DJ145" s="116"/>
      <c r="DK145" s="116"/>
      <c r="DL145" s="116"/>
      <c r="DM145" s="116"/>
      <c r="DN145" s="116"/>
      <c r="DO145" s="116"/>
      <c r="DP145" s="116"/>
      <c r="DQ145" s="116"/>
      <c r="DR145" s="116"/>
      <c r="DS145" s="116"/>
      <c r="DT145" s="116"/>
      <c r="DU145" s="116"/>
      <c r="DV145" s="116"/>
      <c r="DW145" s="116"/>
      <c r="DX145" s="116"/>
      <c r="DY145" s="116"/>
      <c r="DZ145" s="116"/>
      <c r="EA145" s="116"/>
      <c r="EB145" s="116"/>
      <c r="EC145" s="116"/>
      <c r="ED145" s="116"/>
      <c r="EE145" s="116"/>
      <c r="EF145" s="116"/>
      <c r="EG145" s="116"/>
      <c r="EH145" s="116"/>
      <c r="EI145" s="116"/>
      <c r="EJ145" s="116"/>
      <c r="EK145" s="116"/>
      <c r="EL145" s="116"/>
      <c r="EM145" s="116"/>
      <c r="EN145" s="116"/>
      <c r="EO145" s="116"/>
      <c r="EP145" s="116"/>
      <c r="EQ145" s="116"/>
      <c r="ER145" s="116"/>
      <c r="ES145" s="116"/>
      <c r="ET145" s="116"/>
      <c r="EU145" s="116"/>
      <c r="EV145" s="116"/>
      <c r="EW145" s="116"/>
      <c r="EX145" s="116"/>
      <c r="EY145" s="116"/>
      <c r="EZ145" s="116"/>
      <c r="FA145" s="116"/>
      <c r="FB145" s="116"/>
      <c r="FC145" s="116"/>
      <c r="FD145" s="116"/>
      <c r="FE145" s="116"/>
      <c r="FF145" s="116"/>
      <c r="FG145" s="116"/>
      <c r="FH145" s="116"/>
      <c r="FI145" s="116"/>
      <c r="FJ145" s="116"/>
      <c r="FK145" s="116"/>
      <c r="FL145" s="116"/>
      <c r="FM145" s="116"/>
      <c r="FN145" s="116"/>
      <c r="FO145" s="116"/>
      <c r="FP145" s="116"/>
      <c r="FQ145" s="116"/>
      <c r="FR145" s="116"/>
      <c r="FS145" s="116"/>
      <c r="FT145" s="116"/>
      <c r="FU145" s="116"/>
      <c r="FV145" s="116"/>
      <c r="FW145" s="116"/>
      <c r="FX145" s="116"/>
      <c r="FY145" s="116"/>
      <c r="FZ145" s="116"/>
      <c r="GA145" s="116"/>
      <c r="GB145" s="116"/>
      <c r="GC145" s="116"/>
      <c r="GD145" s="116"/>
      <c r="GE145" s="116"/>
      <c r="GF145" s="116"/>
      <c r="GG145" s="116"/>
      <c r="GH145" s="116"/>
      <c r="GI145" s="116"/>
      <c r="GJ145" s="116"/>
      <c r="GK145" s="116"/>
      <c r="GL145" s="116"/>
      <c r="GM145" s="116"/>
      <c r="GN145" s="116"/>
      <c r="GO145" s="116"/>
      <c r="GP145" s="116"/>
      <c r="GQ145" s="116"/>
      <c r="GR145" s="116"/>
      <c r="GS145" s="116"/>
      <c r="GT145" s="116"/>
      <c r="GU145" s="116"/>
      <c r="GV145" s="116"/>
      <c r="GW145" s="116"/>
      <c r="GX145" s="116"/>
      <c r="GY145" s="116"/>
      <c r="GZ145" s="116"/>
      <c r="HA145" s="116"/>
      <c r="HB145" s="116"/>
      <c r="HC145" s="116"/>
      <c r="HD145" s="116"/>
      <c r="HE145" s="116"/>
      <c r="HF145" s="116"/>
      <c r="HG145" s="116"/>
      <c r="HH145" s="116"/>
      <c r="HI145" s="116"/>
      <c r="HJ145" s="116"/>
      <c r="HK145" s="116"/>
      <c r="HL145" s="116"/>
      <c r="HM145" s="116"/>
      <c r="HN145" s="116"/>
      <c r="HO145" s="116"/>
      <c r="HP145" s="116"/>
      <c r="HQ145" s="116"/>
      <c r="HR145" s="116"/>
      <c r="HS145" s="116"/>
      <c r="HT145" s="116"/>
      <c r="HU145" s="116"/>
      <c r="HV145" s="116"/>
      <c r="HW145" s="116"/>
      <c r="HX145" s="116"/>
      <c r="HY145" s="116"/>
      <c r="HZ145" s="116"/>
      <c r="IA145" s="116"/>
      <c r="IB145" s="116"/>
      <c r="IC145" s="116"/>
      <c r="ID145" s="116"/>
      <c r="IE145" s="116"/>
      <c r="IF145" s="116"/>
      <c r="IG145" s="116"/>
      <c r="IH145" s="116"/>
      <c r="II145" s="116"/>
      <c r="IJ145" s="116"/>
      <c r="IK145" s="116"/>
      <c r="IL145" s="116"/>
      <c r="IM145" s="116"/>
      <c r="IN145" s="116"/>
      <c r="IO145" s="116"/>
      <c r="IP145" s="116"/>
      <c r="IQ145" s="116"/>
      <c r="IR145" s="116"/>
      <c r="IS145" s="116"/>
      <c r="IT145" s="116"/>
      <c r="IU145" s="116"/>
      <c r="IV145" s="116"/>
      <c r="IW145" s="116"/>
      <c r="IX145" s="116"/>
      <c r="IY145" s="116"/>
      <c r="IZ145" s="116"/>
    </row>
    <row r="146" spans="1:260" s="35" customFormat="1" x14ac:dyDescent="0.3">
      <c r="A146" s="1"/>
      <c r="B146" s="141" t="s">
        <v>206</v>
      </c>
      <c r="C146" s="236"/>
      <c r="D146" s="167">
        <f>+D141</f>
        <v>3000000</v>
      </c>
      <c r="E146" s="167">
        <f t="shared" ref="E146:H147" si="35">+E141</f>
        <v>3000000</v>
      </c>
      <c r="F146" s="167">
        <f t="shared" si="35"/>
        <v>3000000</v>
      </c>
      <c r="G146" s="167">
        <f t="shared" si="35"/>
        <v>3000000</v>
      </c>
      <c r="H146" s="167">
        <f t="shared" si="35"/>
        <v>3000000</v>
      </c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116"/>
      <c r="AZ146" s="116"/>
      <c r="BA146" s="116"/>
      <c r="BB146" s="116"/>
      <c r="BC146" s="116"/>
      <c r="BD146" s="116"/>
      <c r="BE146" s="116"/>
      <c r="BF146" s="116"/>
      <c r="BG146" s="116"/>
      <c r="BH146" s="116"/>
      <c r="BI146" s="116"/>
      <c r="BJ146" s="116"/>
      <c r="BK146" s="116"/>
      <c r="BL146" s="116"/>
      <c r="BM146" s="116"/>
      <c r="BN146" s="116"/>
      <c r="BO146" s="116"/>
      <c r="BP146" s="116"/>
      <c r="BQ146" s="116"/>
      <c r="BR146" s="116"/>
      <c r="BS146" s="116"/>
      <c r="BT146" s="116"/>
      <c r="BU146" s="116"/>
      <c r="BV146" s="116"/>
      <c r="BW146" s="116"/>
      <c r="BX146" s="116"/>
      <c r="BY146" s="116"/>
      <c r="BZ146" s="116"/>
      <c r="CA146" s="116"/>
      <c r="CB146" s="116"/>
      <c r="CC146" s="116"/>
      <c r="CD146" s="116"/>
      <c r="CE146" s="116"/>
      <c r="CF146" s="116"/>
      <c r="CG146" s="116"/>
      <c r="CH146" s="116"/>
      <c r="CI146" s="116"/>
      <c r="CJ146" s="116"/>
      <c r="CK146" s="116"/>
      <c r="CL146" s="116"/>
      <c r="CM146" s="116"/>
      <c r="CN146" s="116"/>
      <c r="CO146" s="116"/>
      <c r="CP146" s="116"/>
      <c r="CQ146" s="116"/>
      <c r="CR146" s="116"/>
      <c r="CS146" s="116"/>
      <c r="CT146" s="116"/>
      <c r="CU146" s="116"/>
      <c r="CV146" s="116"/>
      <c r="CW146" s="116"/>
      <c r="CX146" s="116"/>
      <c r="CY146" s="116"/>
      <c r="CZ146" s="116"/>
      <c r="DA146" s="116"/>
      <c r="DB146" s="116"/>
      <c r="DC146" s="116"/>
      <c r="DD146" s="116"/>
      <c r="DE146" s="116"/>
      <c r="DF146" s="116"/>
      <c r="DG146" s="116"/>
      <c r="DH146" s="116"/>
      <c r="DI146" s="116"/>
      <c r="DJ146" s="116"/>
      <c r="DK146" s="116"/>
      <c r="DL146" s="116"/>
      <c r="DM146" s="116"/>
      <c r="DN146" s="116"/>
      <c r="DO146" s="116"/>
      <c r="DP146" s="116"/>
      <c r="DQ146" s="116"/>
      <c r="DR146" s="116"/>
      <c r="DS146" s="116"/>
      <c r="DT146" s="116"/>
      <c r="DU146" s="116"/>
      <c r="DV146" s="116"/>
      <c r="DW146" s="116"/>
      <c r="DX146" s="116"/>
      <c r="DY146" s="116"/>
      <c r="DZ146" s="116"/>
      <c r="EA146" s="116"/>
      <c r="EB146" s="116"/>
      <c r="EC146" s="116"/>
      <c r="ED146" s="116"/>
      <c r="EE146" s="116"/>
      <c r="EF146" s="116"/>
      <c r="EG146" s="116"/>
      <c r="EH146" s="116"/>
      <c r="EI146" s="116"/>
      <c r="EJ146" s="116"/>
      <c r="EK146" s="116"/>
      <c r="EL146" s="116"/>
      <c r="EM146" s="116"/>
      <c r="EN146" s="116"/>
      <c r="EO146" s="116"/>
      <c r="EP146" s="116"/>
      <c r="EQ146" s="116"/>
      <c r="ER146" s="116"/>
      <c r="ES146" s="116"/>
      <c r="ET146" s="116"/>
      <c r="EU146" s="116"/>
      <c r="EV146" s="116"/>
      <c r="EW146" s="116"/>
      <c r="EX146" s="116"/>
      <c r="EY146" s="116"/>
      <c r="EZ146" s="116"/>
      <c r="FA146" s="116"/>
      <c r="FB146" s="116"/>
      <c r="FC146" s="116"/>
      <c r="FD146" s="116"/>
      <c r="FE146" s="116"/>
      <c r="FF146" s="116"/>
      <c r="FG146" s="116"/>
      <c r="FH146" s="116"/>
      <c r="FI146" s="116"/>
      <c r="FJ146" s="116"/>
      <c r="FK146" s="116"/>
      <c r="FL146" s="116"/>
      <c r="FM146" s="116"/>
      <c r="FN146" s="116"/>
      <c r="FO146" s="116"/>
      <c r="FP146" s="116"/>
      <c r="FQ146" s="116"/>
      <c r="FR146" s="116"/>
      <c r="FS146" s="116"/>
      <c r="FT146" s="116"/>
      <c r="FU146" s="116"/>
      <c r="FV146" s="116"/>
      <c r="FW146" s="116"/>
      <c r="FX146" s="116"/>
      <c r="FY146" s="116"/>
      <c r="FZ146" s="116"/>
      <c r="GA146" s="116"/>
      <c r="GB146" s="116"/>
      <c r="GC146" s="116"/>
      <c r="GD146" s="116"/>
      <c r="GE146" s="116"/>
      <c r="GF146" s="116"/>
      <c r="GG146" s="116"/>
      <c r="GH146" s="116"/>
      <c r="GI146" s="116"/>
      <c r="GJ146" s="116"/>
      <c r="GK146" s="116"/>
      <c r="GL146" s="116"/>
      <c r="GM146" s="116"/>
      <c r="GN146" s="116"/>
      <c r="GO146" s="116"/>
      <c r="GP146" s="116"/>
      <c r="GQ146" s="116"/>
      <c r="GR146" s="116"/>
      <c r="GS146" s="116"/>
      <c r="GT146" s="116"/>
      <c r="GU146" s="116"/>
      <c r="GV146" s="116"/>
      <c r="GW146" s="116"/>
      <c r="GX146" s="116"/>
      <c r="GY146" s="116"/>
      <c r="GZ146" s="116"/>
      <c r="HA146" s="116"/>
      <c r="HB146" s="116"/>
      <c r="HC146" s="116"/>
      <c r="HD146" s="116"/>
      <c r="HE146" s="116"/>
      <c r="HF146" s="116"/>
      <c r="HG146" s="116"/>
      <c r="HH146" s="116"/>
      <c r="HI146" s="116"/>
      <c r="HJ146" s="116"/>
      <c r="HK146" s="116"/>
      <c r="HL146" s="116"/>
      <c r="HM146" s="116"/>
      <c r="HN146" s="116"/>
      <c r="HO146" s="116"/>
      <c r="HP146" s="116"/>
      <c r="HQ146" s="116"/>
      <c r="HR146" s="116"/>
      <c r="HS146" s="116"/>
      <c r="HT146" s="116"/>
      <c r="HU146" s="116"/>
      <c r="HV146" s="116"/>
      <c r="HW146" s="116"/>
      <c r="HX146" s="116"/>
      <c r="HY146" s="116"/>
      <c r="HZ146" s="116"/>
      <c r="IA146" s="116"/>
      <c r="IB146" s="116"/>
      <c r="IC146" s="116"/>
      <c r="ID146" s="116"/>
      <c r="IE146" s="116"/>
      <c r="IF146" s="116"/>
      <c r="IG146" s="116"/>
      <c r="IH146" s="116"/>
      <c r="II146" s="116"/>
      <c r="IJ146" s="116"/>
      <c r="IK146" s="116"/>
      <c r="IL146" s="116"/>
      <c r="IM146" s="116"/>
      <c r="IN146" s="116"/>
      <c r="IO146" s="116"/>
      <c r="IP146" s="116"/>
      <c r="IQ146" s="116"/>
      <c r="IR146" s="116"/>
      <c r="IS146" s="116"/>
      <c r="IT146" s="116"/>
      <c r="IU146" s="116"/>
      <c r="IV146" s="116"/>
      <c r="IW146" s="116"/>
      <c r="IX146" s="116"/>
      <c r="IY146" s="116"/>
      <c r="IZ146" s="116"/>
    </row>
    <row r="147" spans="1:260" s="35" customFormat="1" x14ac:dyDescent="0.3">
      <c r="A147" s="1"/>
      <c r="B147" s="141" t="s">
        <v>207</v>
      </c>
      <c r="C147" s="236"/>
      <c r="D147" s="167">
        <f>+D142</f>
        <v>5016000</v>
      </c>
      <c r="E147" s="167">
        <f t="shared" si="35"/>
        <v>5016000</v>
      </c>
      <c r="F147" s="167">
        <f t="shared" si="35"/>
        <v>5016000</v>
      </c>
      <c r="G147" s="167">
        <f t="shared" si="35"/>
        <v>5016000</v>
      </c>
      <c r="H147" s="167">
        <f t="shared" si="35"/>
        <v>5016000</v>
      </c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116"/>
      <c r="BA147" s="116"/>
      <c r="BB147" s="116"/>
      <c r="BC147" s="116"/>
      <c r="BD147" s="116"/>
      <c r="BE147" s="116"/>
      <c r="BF147" s="116"/>
      <c r="BG147" s="116"/>
      <c r="BH147" s="116"/>
      <c r="BI147" s="116"/>
      <c r="BJ147" s="116"/>
      <c r="BK147" s="116"/>
      <c r="BL147" s="116"/>
      <c r="BM147" s="116"/>
      <c r="BN147" s="116"/>
      <c r="BO147" s="116"/>
      <c r="BP147" s="116"/>
      <c r="BQ147" s="116"/>
      <c r="BR147" s="116"/>
      <c r="BS147" s="116"/>
      <c r="BT147" s="116"/>
      <c r="BU147" s="116"/>
      <c r="BV147" s="116"/>
      <c r="BW147" s="116"/>
      <c r="BX147" s="116"/>
      <c r="BY147" s="116"/>
      <c r="BZ147" s="116"/>
      <c r="CA147" s="116"/>
      <c r="CB147" s="116"/>
      <c r="CC147" s="116"/>
      <c r="CD147" s="116"/>
      <c r="CE147" s="116"/>
      <c r="CF147" s="116"/>
      <c r="CG147" s="116"/>
      <c r="CH147" s="116"/>
      <c r="CI147" s="116"/>
      <c r="CJ147" s="116"/>
      <c r="CK147" s="116"/>
      <c r="CL147" s="116"/>
      <c r="CM147" s="116"/>
      <c r="CN147" s="116"/>
      <c r="CO147" s="116"/>
      <c r="CP147" s="116"/>
      <c r="CQ147" s="116"/>
      <c r="CR147" s="116"/>
      <c r="CS147" s="116"/>
      <c r="CT147" s="116"/>
      <c r="CU147" s="116"/>
      <c r="CV147" s="116"/>
      <c r="CW147" s="116"/>
      <c r="CX147" s="116"/>
      <c r="CY147" s="116"/>
      <c r="CZ147" s="116"/>
      <c r="DA147" s="116"/>
      <c r="DB147" s="116"/>
      <c r="DC147" s="116"/>
      <c r="DD147" s="116"/>
      <c r="DE147" s="116"/>
      <c r="DF147" s="116"/>
      <c r="DG147" s="116"/>
      <c r="DH147" s="116"/>
      <c r="DI147" s="116"/>
      <c r="DJ147" s="116"/>
      <c r="DK147" s="116"/>
      <c r="DL147" s="116"/>
      <c r="DM147" s="116"/>
      <c r="DN147" s="116"/>
      <c r="DO147" s="116"/>
      <c r="DP147" s="116"/>
      <c r="DQ147" s="116"/>
      <c r="DR147" s="116"/>
      <c r="DS147" s="116"/>
      <c r="DT147" s="116"/>
      <c r="DU147" s="116"/>
      <c r="DV147" s="116"/>
      <c r="DW147" s="116"/>
      <c r="DX147" s="116"/>
      <c r="DY147" s="116"/>
      <c r="DZ147" s="116"/>
      <c r="EA147" s="116"/>
      <c r="EB147" s="116"/>
      <c r="EC147" s="116"/>
      <c r="ED147" s="116"/>
      <c r="EE147" s="116"/>
      <c r="EF147" s="116"/>
      <c r="EG147" s="116"/>
      <c r="EH147" s="116"/>
      <c r="EI147" s="116"/>
      <c r="EJ147" s="116"/>
      <c r="EK147" s="116"/>
      <c r="EL147" s="116"/>
      <c r="EM147" s="116"/>
      <c r="EN147" s="116"/>
      <c r="EO147" s="116"/>
      <c r="EP147" s="116"/>
      <c r="EQ147" s="116"/>
      <c r="ER147" s="116"/>
      <c r="ES147" s="116"/>
      <c r="ET147" s="116"/>
      <c r="EU147" s="116"/>
      <c r="EV147" s="116"/>
      <c r="EW147" s="116"/>
      <c r="EX147" s="116"/>
      <c r="EY147" s="116"/>
      <c r="EZ147" s="116"/>
      <c r="FA147" s="116"/>
      <c r="FB147" s="116"/>
      <c r="FC147" s="116"/>
      <c r="FD147" s="116"/>
      <c r="FE147" s="116"/>
      <c r="FF147" s="116"/>
      <c r="FG147" s="116"/>
      <c r="FH147" s="116"/>
      <c r="FI147" s="116"/>
      <c r="FJ147" s="116"/>
      <c r="FK147" s="116"/>
      <c r="FL147" s="116"/>
      <c r="FM147" s="116"/>
      <c r="FN147" s="116"/>
      <c r="FO147" s="116"/>
      <c r="FP147" s="116"/>
      <c r="FQ147" s="116"/>
      <c r="FR147" s="116"/>
      <c r="FS147" s="116"/>
      <c r="FT147" s="116"/>
      <c r="FU147" s="116"/>
      <c r="FV147" s="116"/>
      <c r="FW147" s="116"/>
      <c r="FX147" s="116"/>
      <c r="FY147" s="116"/>
      <c r="FZ147" s="116"/>
      <c r="GA147" s="116"/>
      <c r="GB147" s="116"/>
      <c r="GC147" s="116"/>
      <c r="GD147" s="116"/>
      <c r="GE147" s="116"/>
      <c r="GF147" s="116"/>
      <c r="GG147" s="116"/>
      <c r="GH147" s="116"/>
      <c r="GI147" s="116"/>
      <c r="GJ147" s="116"/>
      <c r="GK147" s="116"/>
      <c r="GL147" s="116"/>
      <c r="GM147" s="116"/>
      <c r="GN147" s="116"/>
      <c r="GO147" s="116"/>
      <c r="GP147" s="116"/>
      <c r="GQ147" s="116"/>
      <c r="GR147" s="116"/>
      <c r="GS147" s="116"/>
      <c r="GT147" s="116"/>
      <c r="GU147" s="116"/>
      <c r="GV147" s="116"/>
      <c r="GW147" s="116"/>
      <c r="GX147" s="116"/>
      <c r="GY147" s="116"/>
      <c r="GZ147" s="116"/>
      <c r="HA147" s="116"/>
      <c r="HB147" s="116"/>
      <c r="HC147" s="116"/>
      <c r="HD147" s="116"/>
      <c r="HE147" s="116"/>
      <c r="HF147" s="116"/>
      <c r="HG147" s="116"/>
      <c r="HH147" s="116"/>
      <c r="HI147" s="116"/>
      <c r="HJ147" s="116"/>
      <c r="HK147" s="116"/>
      <c r="HL147" s="116"/>
      <c r="HM147" s="116"/>
      <c r="HN147" s="116"/>
      <c r="HO147" s="116"/>
      <c r="HP147" s="116"/>
      <c r="HQ147" s="116"/>
      <c r="HR147" s="116"/>
      <c r="HS147" s="116"/>
      <c r="HT147" s="116"/>
      <c r="HU147" s="116"/>
      <c r="HV147" s="116"/>
      <c r="HW147" s="116"/>
      <c r="HX147" s="116"/>
      <c r="HY147" s="116"/>
      <c r="HZ147" s="116"/>
      <c r="IA147" s="116"/>
      <c r="IB147" s="116"/>
      <c r="IC147" s="116"/>
      <c r="ID147" s="116"/>
      <c r="IE147" s="116"/>
      <c r="IF147" s="116"/>
      <c r="IG147" s="116"/>
      <c r="IH147" s="116"/>
      <c r="II147" s="116"/>
      <c r="IJ147" s="116"/>
      <c r="IK147" s="116"/>
      <c r="IL147" s="116"/>
      <c r="IM147" s="116"/>
      <c r="IN147" s="116"/>
      <c r="IO147" s="116"/>
      <c r="IP147" s="116"/>
      <c r="IQ147" s="116"/>
      <c r="IR147" s="116"/>
      <c r="IS147" s="116"/>
      <c r="IT147" s="116"/>
      <c r="IU147" s="116"/>
      <c r="IV147" s="116"/>
      <c r="IW147" s="116"/>
      <c r="IX147" s="116"/>
      <c r="IY147" s="116"/>
      <c r="IZ147" s="116"/>
    </row>
    <row r="148" spans="1:260" s="35" customFormat="1" x14ac:dyDescent="0.3">
      <c r="A148" s="1"/>
      <c r="B148" s="158" t="s">
        <v>187</v>
      </c>
      <c r="C148" s="240">
        <f>+C109</f>
        <v>30705000</v>
      </c>
      <c r="D148" s="240">
        <f t="shared" ref="D148:H148" si="36">+D109</f>
        <v>0</v>
      </c>
      <c r="E148" s="240">
        <f t="shared" si="36"/>
        <v>11674218.183878249</v>
      </c>
      <c r="F148" s="240">
        <f t="shared" si="36"/>
        <v>0</v>
      </c>
      <c r="G148" s="240">
        <f t="shared" si="36"/>
        <v>0</v>
      </c>
      <c r="H148" s="240">
        <f t="shared" si="36"/>
        <v>2398226.1808879329</v>
      </c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  <c r="BD148" s="116"/>
      <c r="BE148" s="116"/>
      <c r="BF148" s="116"/>
      <c r="BG148" s="116"/>
      <c r="BH148" s="116"/>
      <c r="BI148" s="116"/>
      <c r="BJ148" s="116"/>
      <c r="BK148" s="116"/>
      <c r="BL148" s="116"/>
      <c r="BM148" s="116"/>
      <c r="BN148" s="116"/>
      <c r="BO148" s="116"/>
      <c r="BP148" s="116"/>
      <c r="BQ148" s="116"/>
      <c r="BR148" s="116"/>
      <c r="BS148" s="116"/>
      <c r="BT148" s="116"/>
      <c r="BU148" s="116"/>
      <c r="BV148" s="116"/>
      <c r="BW148" s="116"/>
      <c r="BX148" s="116"/>
      <c r="BY148" s="116"/>
      <c r="BZ148" s="116"/>
      <c r="CA148" s="116"/>
      <c r="CB148" s="116"/>
      <c r="CC148" s="116"/>
      <c r="CD148" s="116"/>
      <c r="CE148" s="116"/>
      <c r="CF148" s="116"/>
      <c r="CG148" s="116"/>
      <c r="CH148" s="116"/>
      <c r="CI148" s="116"/>
      <c r="CJ148" s="116"/>
      <c r="CK148" s="116"/>
      <c r="CL148" s="116"/>
      <c r="CM148" s="116"/>
      <c r="CN148" s="116"/>
      <c r="CO148" s="116"/>
      <c r="CP148" s="116"/>
      <c r="CQ148" s="116"/>
      <c r="CR148" s="116"/>
      <c r="CS148" s="116"/>
      <c r="CT148" s="116"/>
      <c r="CU148" s="116"/>
      <c r="CV148" s="116"/>
      <c r="CW148" s="116"/>
      <c r="CX148" s="116"/>
      <c r="CY148" s="116"/>
      <c r="CZ148" s="116"/>
      <c r="DA148" s="116"/>
      <c r="DB148" s="116"/>
      <c r="DC148" s="116"/>
      <c r="DD148" s="116"/>
      <c r="DE148" s="116"/>
      <c r="DF148" s="116"/>
      <c r="DG148" s="116"/>
      <c r="DH148" s="116"/>
      <c r="DI148" s="116"/>
      <c r="DJ148" s="116"/>
      <c r="DK148" s="116"/>
      <c r="DL148" s="116"/>
      <c r="DM148" s="116"/>
      <c r="DN148" s="116"/>
      <c r="DO148" s="116"/>
      <c r="DP148" s="116"/>
      <c r="DQ148" s="116"/>
      <c r="DR148" s="116"/>
      <c r="DS148" s="116"/>
      <c r="DT148" s="116"/>
      <c r="DU148" s="116"/>
      <c r="DV148" s="116"/>
      <c r="DW148" s="116"/>
      <c r="DX148" s="116"/>
      <c r="DY148" s="116"/>
      <c r="DZ148" s="116"/>
      <c r="EA148" s="116"/>
      <c r="EB148" s="116"/>
      <c r="EC148" s="116"/>
      <c r="ED148" s="116"/>
      <c r="EE148" s="116"/>
      <c r="EF148" s="116"/>
      <c r="EG148" s="116"/>
      <c r="EH148" s="116"/>
      <c r="EI148" s="116"/>
      <c r="EJ148" s="116"/>
      <c r="EK148" s="116"/>
      <c r="EL148" s="116"/>
      <c r="EM148" s="116"/>
      <c r="EN148" s="116"/>
      <c r="EO148" s="116"/>
      <c r="EP148" s="116"/>
      <c r="EQ148" s="116"/>
      <c r="ER148" s="116"/>
      <c r="ES148" s="116"/>
      <c r="ET148" s="116"/>
      <c r="EU148" s="116"/>
      <c r="EV148" s="116"/>
      <c r="EW148" s="116"/>
      <c r="EX148" s="116"/>
      <c r="EY148" s="116"/>
      <c r="EZ148" s="116"/>
      <c r="FA148" s="116"/>
      <c r="FB148" s="116"/>
      <c r="FC148" s="116"/>
      <c r="FD148" s="116"/>
      <c r="FE148" s="116"/>
      <c r="FF148" s="116"/>
      <c r="FG148" s="116"/>
      <c r="FH148" s="116"/>
      <c r="FI148" s="116"/>
      <c r="FJ148" s="116"/>
      <c r="FK148" s="116"/>
      <c r="FL148" s="116"/>
      <c r="FM148" s="116"/>
      <c r="FN148" s="116"/>
      <c r="FO148" s="116"/>
      <c r="FP148" s="116"/>
      <c r="FQ148" s="116"/>
      <c r="FR148" s="116"/>
      <c r="FS148" s="116"/>
      <c r="FT148" s="116"/>
      <c r="FU148" s="116"/>
      <c r="FV148" s="116"/>
      <c r="FW148" s="116"/>
      <c r="FX148" s="116"/>
      <c r="FY148" s="116"/>
      <c r="FZ148" s="116"/>
      <c r="GA148" s="116"/>
      <c r="GB148" s="116"/>
      <c r="GC148" s="116"/>
      <c r="GD148" s="116"/>
      <c r="GE148" s="116"/>
      <c r="GF148" s="116"/>
      <c r="GG148" s="116"/>
      <c r="GH148" s="116"/>
      <c r="GI148" s="116"/>
      <c r="GJ148" s="116"/>
      <c r="GK148" s="116"/>
      <c r="GL148" s="116"/>
      <c r="GM148" s="116"/>
      <c r="GN148" s="116"/>
      <c r="GO148" s="116"/>
      <c r="GP148" s="116"/>
      <c r="GQ148" s="116"/>
      <c r="GR148" s="116"/>
      <c r="GS148" s="116"/>
      <c r="GT148" s="116"/>
      <c r="GU148" s="116"/>
      <c r="GV148" s="116"/>
      <c r="GW148" s="116"/>
      <c r="GX148" s="116"/>
      <c r="GY148" s="116"/>
      <c r="GZ148" s="116"/>
      <c r="HA148" s="116"/>
      <c r="HB148" s="116"/>
      <c r="HC148" s="116"/>
      <c r="HD148" s="116"/>
      <c r="HE148" s="116"/>
      <c r="HF148" s="116"/>
      <c r="HG148" s="116"/>
      <c r="HH148" s="116"/>
      <c r="HI148" s="116"/>
      <c r="HJ148" s="116"/>
      <c r="HK148" s="116"/>
      <c r="HL148" s="116"/>
      <c r="HM148" s="116"/>
      <c r="HN148" s="116"/>
      <c r="HO148" s="116"/>
      <c r="HP148" s="116"/>
      <c r="HQ148" s="116"/>
      <c r="HR148" s="116"/>
      <c r="HS148" s="116"/>
      <c r="HT148" s="116"/>
      <c r="HU148" s="116"/>
      <c r="HV148" s="116"/>
      <c r="HW148" s="116"/>
      <c r="HX148" s="116"/>
      <c r="HY148" s="116"/>
      <c r="HZ148" s="116"/>
      <c r="IA148" s="116"/>
      <c r="IB148" s="116"/>
      <c r="IC148" s="116"/>
      <c r="ID148" s="116"/>
      <c r="IE148" s="116"/>
      <c r="IF148" s="116"/>
      <c r="IG148" s="116"/>
      <c r="IH148" s="116"/>
      <c r="II148" s="116"/>
      <c r="IJ148" s="116"/>
      <c r="IK148" s="116"/>
      <c r="IL148" s="116"/>
      <c r="IM148" s="116"/>
      <c r="IN148" s="116"/>
      <c r="IO148" s="116"/>
      <c r="IP148" s="116"/>
      <c r="IQ148" s="116"/>
      <c r="IR148" s="116"/>
      <c r="IS148" s="116"/>
      <c r="IT148" s="116"/>
      <c r="IU148" s="116"/>
      <c r="IV148" s="116"/>
      <c r="IW148" s="116"/>
      <c r="IX148" s="116"/>
      <c r="IY148" s="116"/>
      <c r="IZ148" s="116"/>
    </row>
    <row r="149" spans="1:260" s="35" customFormat="1" x14ac:dyDescent="0.3">
      <c r="A149" s="1"/>
      <c r="B149" s="158" t="s">
        <v>188</v>
      </c>
      <c r="C149" s="240">
        <f t="shared" ref="C149:H152" si="37">+C110</f>
        <v>40000000</v>
      </c>
      <c r="D149" s="240">
        <f t="shared" si="37"/>
        <v>0</v>
      </c>
      <c r="E149" s="240">
        <f t="shared" si="37"/>
        <v>0</v>
      </c>
      <c r="F149" s="240">
        <f t="shared" si="37"/>
        <v>0</v>
      </c>
      <c r="G149" s="240">
        <f t="shared" si="37"/>
        <v>0</v>
      </c>
      <c r="H149" s="240">
        <f t="shared" si="37"/>
        <v>0</v>
      </c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  <c r="BR149" s="116"/>
      <c r="BS149" s="116"/>
      <c r="BT149" s="116"/>
      <c r="BU149" s="116"/>
      <c r="BV149" s="116"/>
      <c r="BW149" s="116"/>
      <c r="BX149" s="116"/>
      <c r="BY149" s="116"/>
      <c r="BZ149" s="116"/>
      <c r="CA149" s="116"/>
      <c r="CB149" s="116"/>
      <c r="CC149" s="116"/>
      <c r="CD149" s="116"/>
      <c r="CE149" s="116"/>
      <c r="CF149" s="116"/>
      <c r="CG149" s="116"/>
      <c r="CH149" s="116"/>
      <c r="CI149" s="116"/>
      <c r="CJ149" s="116"/>
      <c r="CK149" s="116"/>
      <c r="CL149" s="116"/>
      <c r="CM149" s="116"/>
      <c r="CN149" s="116"/>
      <c r="CO149" s="116"/>
      <c r="CP149" s="116"/>
      <c r="CQ149" s="116"/>
      <c r="CR149" s="116"/>
      <c r="CS149" s="116"/>
      <c r="CT149" s="116"/>
      <c r="CU149" s="116"/>
      <c r="CV149" s="116"/>
      <c r="CW149" s="116"/>
      <c r="CX149" s="116"/>
      <c r="CY149" s="116"/>
      <c r="CZ149" s="116"/>
      <c r="DA149" s="116"/>
      <c r="DB149" s="116"/>
      <c r="DC149" s="116"/>
      <c r="DD149" s="116"/>
      <c r="DE149" s="116"/>
      <c r="DF149" s="116"/>
      <c r="DG149" s="116"/>
      <c r="DH149" s="116"/>
      <c r="DI149" s="116"/>
      <c r="DJ149" s="116"/>
      <c r="DK149" s="116"/>
      <c r="DL149" s="116"/>
      <c r="DM149" s="116"/>
      <c r="DN149" s="116"/>
      <c r="DO149" s="116"/>
      <c r="DP149" s="116"/>
      <c r="DQ149" s="116"/>
      <c r="DR149" s="116"/>
      <c r="DS149" s="116"/>
      <c r="DT149" s="116"/>
      <c r="DU149" s="116"/>
      <c r="DV149" s="116"/>
      <c r="DW149" s="116"/>
      <c r="DX149" s="116"/>
      <c r="DY149" s="116"/>
      <c r="DZ149" s="116"/>
      <c r="EA149" s="116"/>
      <c r="EB149" s="116"/>
      <c r="EC149" s="116"/>
      <c r="ED149" s="116"/>
      <c r="EE149" s="116"/>
      <c r="EF149" s="116"/>
      <c r="EG149" s="116"/>
      <c r="EH149" s="116"/>
      <c r="EI149" s="116"/>
      <c r="EJ149" s="116"/>
      <c r="EK149" s="116"/>
      <c r="EL149" s="116"/>
      <c r="EM149" s="116"/>
      <c r="EN149" s="116"/>
      <c r="EO149" s="116"/>
      <c r="EP149" s="116"/>
      <c r="EQ149" s="116"/>
      <c r="ER149" s="116"/>
      <c r="ES149" s="116"/>
      <c r="ET149" s="116"/>
      <c r="EU149" s="116"/>
      <c r="EV149" s="116"/>
      <c r="EW149" s="116"/>
      <c r="EX149" s="116"/>
      <c r="EY149" s="116"/>
      <c r="EZ149" s="116"/>
      <c r="FA149" s="116"/>
      <c r="FB149" s="116"/>
      <c r="FC149" s="116"/>
      <c r="FD149" s="116"/>
      <c r="FE149" s="116"/>
      <c r="FF149" s="116"/>
      <c r="FG149" s="116"/>
      <c r="FH149" s="116"/>
      <c r="FI149" s="116"/>
      <c r="FJ149" s="116"/>
      <c r="FK149" s="116"/>
      <c r="FL149" s="116"/>
      <c r="FM149" s="116"/>
      <c r="FN149" s="116"/>
      <c r="FO149" s="116"/>
      <c r="FP149" s="116"/>
      <c r="FQ149" s="116"/>
      <c r="FR149" s="116"/>
      <c r="FS149" s="116"/>
      <c r="FT149" s="116"/>
      <c r="FU149" s="116"/>
      <c r="FV149" s="116"/>
      <c r="FW149" s="116"/>
      <c r="FX149" s="116"/>
      <c r="FY149" s="116"/>
      <c r="FZ149" s="116"/>
      <c r="GA149" s="116"/>
      <c r="GB149" s="116"/>
      <c r="GC149" s="116"/>
      <c r="GD149" s="116"/>
      <c r="GE149" s="116"/>
      <c r="GF149" s="116"/>
      <c r="GG149" s="116"/>
      <c r="GH149" s="116"/>
      <c r="GI149" s="116"/>
      <c r="GJ149" s="116"/>
      <c r="GK149" s="116"/>
      <c r="GL149" s="116"/>
      <c r="GM149" s="116"/>
      <c r="GN149" s="116"/>
      <c r="GO149" s="116"/>
      <c r="GP149" s="116"/>
      <c r="GQ149" s="116"/>
      <c r="GR149" s="116"/>
      <c r="GS149" s="116"/>
      <c r="GT149" s="116"/>
      <c r="GU149" s="116"/>
      <c r="GV149" s="116"/>
      <c r="GW149" s="116"/>
      <c r="GX149" s="116"/>
      <c r="GY149" s="116"/>
      <c r="GZ149" s="116"/>
      <c r="HA149" s="116"/>
      <c r="HB149" s="116"/>
      <c r="HC149" s="116"/>
      <c r="HD149" s="116"/>
      <c r="HE149" s="116"/>
      <c r="HF149" s="116"/>
      <c r="HG149" s="116"/>
      <c r="HH149" s="116"/>
      <c r="HI149" s="116"/>
      <c r="HJ149" s="116"/>
      <c r="HK149" s="116"/>
      <c r="HL149" s="116"/>
      <c r="HM149" s="116"/>
      <c r="HN149" s="116"/>
      <c r="HO149" s="116"/>
      <c r="HP149" s="116"/>
      <c r="HQ149" s="116"/>
      <c r="HR149" s="116"/>
      <c r="HS149" s="116"/>
      <c r="HT149" s="116"/>
      <c r="HU149" s="116"/>
      <c r="HV149" s="116"/>
      <c r="HW149" s="116"/>
      <c r="HX149" s="116"/>
      <c r="HY149" s="116"/>
      <c r="HZ149" s="116"/>
      <c r="IA149" s="116"/>
      <c r="IB149" s="116"/>
      <c r="IC149" s="116"/>
      <c r="ID149" s="116"/>
      <c r="IE149" s="116"/>
      <c r="IF149" s="116"/>
      <c r="IG149" s="116"/>
      <c r="IH149" s="116"/>
      <c r="II149" s="116"/>
      <c r="IJ149" s="116"/>
      <c r="IK149" s="116"/>
      <c r="IL149" s="116"/>
      <c r="IM149" s="116"/>
      <c r="IN149" s="116"/>
      <c r="IO149" s="116"/>
      <c r="IP149" s="116"/>
      <c r="IQ149" s="116"/>
      <c r="IR149" s="116"/>
      <c r="IS149" s="116"/>
      <c r="IT149" s="116"/>
      <c r="IU149" s="116"/>
      <c r="IV149" s="116"/>
      <c r="IW149" s="116"/>
      <c r="IX149" s="116"/>
      <c r="IY149" s="116"/>
      <c r="IZ149" s="116"/>
    </row>
    <row r="150" spans="1:260" s="35" customFormat="1" x14ac:dyDescent="0.3">
      <c r="A150" s="1"/>
      <c r="B150" s="158" t="s">
        <v>189</v>
      </c>
      <c r="C150" s="240">
        <f t="shared" si="37"/>
        <v>0</v>
      </c>
      <c r="D150" s="240">
        <f t="shared" si="37"/>
        <v>0</v>
      </c>
      <c r="E150" s="240">
        <f t="shared" si="37"/>
        <v>0</v>
      </c>
      <c r="F150" s="240">
        <f t="shared" si="37"/>
        <v>0</v>
      </c>
      <c r="G150" s="240">
        <f t="shared" si="37"/>
        <v>0</v>
      </c>
      <c r="H150" s="240">
        <f t="shared" si="37"/>
        <v>0</v>
      </c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  <c r="AX150" s="116"/>
      <c r="AY150" s="116"/>
      <c r="AZ150" s="116"/>
      <c r="BA150" s="116"/>
      <c r="BB150" s="116"/>
      <c r="BC150" s="116"/>
      <c r="BD150" s="116"/>
      <c r="BE150" s="116"/>
      <c r="BF150" s="116"/>
      <c r="BG150" s="116"/>
      <c r="BH150" s="116"/>
      <c r="BI150" s="116"/>
      <c r="BJ150" s="116"/>
      <c r="BK150" s="116"/>
      <c r="BL150" s="116"/>
      <c r="BM150" s="116"/>
      <c r="BN150" s="116"/>
      <c r="BO150" s="116"/>
      <c r="BP150" s="116"/>
      <c r="BQ150" s="116"/>
      <c r="BR150" s="116"/>
      <c r="BS150" s="116"/>
      <c r="BT150" s="116"/>
      <c r="BU150" s="116"/>
      <c r="BV150" s="116"/>
      <c r="BW150" s="116"/>
      <c r="BX150" s="116"/>
      <c r="BY150" s="116"/>
      <c r="BZ150" s="116"/>
      <c r="CA150" s="116"/>
      <c r="CB150" s="116"/>
      <c r="CC150" s="116"/>
      <c r="CD150" s="116"/>
      <c r="CE150" s="116"/>
      <c r="CF150" s="116"/>
      <c r="CG150" s="116"/>
      <c r="CH150" s="116"/>
      <c r="CI150" s="116"/>
      <c r="CJ150" s="116"/>
      <c r="CK150" s="116"/>
      <c r="CL150" s="116"/>
      <c r="CM150" s="116"/>
      <c r="CN150" s="116"/>
      <c r="CO150" s="116"/>
      <c r="CP150" s="116"/>
      <c r="CQ150" s="116"/>
      <c r="CR150" s="116"/>
      <c r="CS150" s="116"/>
      <c r="CT150" s="116"/>
      <c r="CU150" s="116"/>
      <c r="CV150" s="116"/>
      <c r="CW150" s="116"/>
      <c r="CX150" s="116"/>
      <c r="CY150" s="116"/>
      <c r="CZ150" s="116"/>
      <c r="DA150" s="116"/>
      <c r="DB150" s="116"/>
      <c r="DC150" s="116"/>
      <c r="DD150" s="116"/>
      <c r="DE150" s="116"/>
      <c r="DF150" s="116"/>
      <c r="DG150" s="116"/>
      <c r="DH150" s="116"/>
      <c r="DI150" s="116"/>
      <c r="DJ150" s="116"/>
      <c r="DK150" s="116"/>
      <c r="DL150" s="116"/>
      <c r="DM150" s="116"/>
      <c r="DN150" s="116"/>
      <c r="DO150" s="116"/>
      <c r="DP150" s="116"/>
      <c r="DQ150" s="116"/>
      <c r="DR150" s="116"/>
      <c r="DS150" s="116"/>
      <c r="DT150" s="116"/>
      <c r="DU150" s="116"/>
      <c r="DV150" s="116"/>
      <c r="DW150" s="116"/>
      <c r="DX150" s="116"/>
      <c r="DY150" s="116"/>
      <c r="DZ150" s="116"/>
      <c r="EA150" s="116"/>
      <c r="EB150" s="116"/>
      <c r="EC150" s="116"/>
      <c r="ED150" s="116"/>
      <c r="EE150" s="116"/>
      <c r="EF150" s="116"/>
      <c r="EG150" s="116"/>
      <c r="EH150" s="116"/>
      <c r="EI150" s="116"/>
      <c r="EJ150" s="116"/>
      <c r="EK150" s="116"/>
      <c r="EL150" s="116"/>
      <c r="EM150" s="116"/>
      <c r="EN150" s="116"/>
      <c r="EO150" s="116"/>
      <c r="EP150" s="116"/>
      <c r="EQ150" s="116"/>
      <c r="ER150" s="116"/>
      <c r="ES150" s="116"/>
      <c r="ET150" s="116"/>
      <c r="EU150" s="116"/>
      <c r="EV150" s="116"/>
      <c r="EW150" s="116"/>
      <c r="EX150" s="116"/>
      <c r="EY150" s="116"/>
      <c r="EZ150" s="116"/>
      <c r="FA150" s="116"/>
      <c r="FB150" s="116"/>
      <c r="FC150" s="116"/>
      <c r="FD150" s="116"/>
      <c r="FE150" s="116"/>
      <c r="FF150" s="116"/>
      <c r="FG150" s="116"/>
      <c r="FH150" s="116"/>
      <c r="FI150" s="116"/>
      <c r="FJ150" s="116"/>
      <c r="FK150" s="116"/>
      <c r="FL150" s="116"/>
      <c r="FM150" s="116"/>
      <c r="FN150" s="116"/>
      <c r="FO150" s="116"/>
      <c r="FP150" s="116"/>
      <c r="FQ150" s="116"/>
      <c r="FR150" s="116"/>
      <c r="FS150" s="116"/>
      <c r="FT150" s="116"/>
      <c r="FU150" s="116"/>
      <c r="FV150" s="116"/>
      <c r="FW150" s="116"/>
      <c r="FX150" s="116"/>
      <c r="FY150" s="116"/>
      <c r="FZ150" s="116"/>
      <c r="GA150" s="116"/>
      <c r="GB150" s="116"/>
      <c r="GC150" s="116"/>
      <c r="GD150" s="116"/>
      <c r="GE150" s="116"/>
      <c r="GF150" s="116"/>
      <c r="GG150" s="116"/>
      <c r="GH150" s="116"/>
      <c r="GI150" s="116"/>
      <c r="GJ150" s="116"/>
      <c r="GK150" s="116"/>
      <c r="GL150" s="116"/>
      <c r="GM150" s="116"/>
      <c r="GN150" s="116"/>
      <c r="GO150" s="116"/>
      <c r="GP150" s="116"/>
      <c r="GQ150" s="116"/>
      <c r="GR150" s="116"/>
      <c r="GS150" s="116"/>
      <c r="GT150" s="116"/>
      <c r="GU150" s="116"/>
      <c r="GV150" s="116"/>
      <c r="GW150" s="116"/>
      <c r="GX150" s="116"/>
      <c r="GY150" s="116"/>
      <c r="GZ150" s="116"/>
      <c r="HA150" s="116"/>
      <c r="HB150" s="116"/>
      <c r="HC150" s="116"/>
      <c r="HD150" s="116"/>
      <c r="HE150" s="116"/>
      <c r="HF150" s="116"/>
      <c r="HG150" s="116"/>
      <c r="HH150" s="116"/>
      <c r="HI150" s="116"/>
      <c r="HJ150" s="116"/>
      <c r="HK150" s="116"/>
      <c r="HL150" s="116"/>
      <c r="HM150" s="116"/>
      <c r="HN150" s="116"/>
      <c r="HO150" s="116"/>
      <c r="HP150" s="116"/>
      <c r="HQ150" s="116"/>
      <c r="HR150" s="116"/>
      <c r="HS150" s="116"/>
      <c r="HT150" s="116"/>
      <c r="HU150" s="116"/>
      <c r="HV150" s="116"/>
      <c r="HW150" s="116"/>
      <c r="HX150" s="116"/>
      <c r="HY150" s="116"/>
      <c r="HZ150" s="116"/>
      <c r="IA150" s="116"/>
      <c r="IB150" s="116"/>
      <c r="IC150" s="116"/>
      <c r="ID150" s="116"/>
      <c r="IE150" s="116"/>
      <c r="IF150" s="116"/>
      <c r="IG150" s="116"/>
      <c r="IH150" s="116"/>
      <c r="II150" s="116"/>
      <c r="IJ150" s="116"/>
      <c r="IK150" s="116"/>
      <c r="IL150" s="116"/>
      <c r="IM150" s="116"/>
      <c r="IN150" s="116"/>
      <c r="IO150" s="116"/>
      <c r="IP150" s="116"/>
      <c r="IQ150" s="116"/>
      <c r="IR150" s="116"/>
      <c r="IS150" s="116"/>
      <c r="IT150" s="116"/>
      <c r="IU150" s="116"/>
      <c r="IV150" s="116"/>
      <c r="IW150" s="116"/>
      <c r="IX150" s="116"/>
      <c r="IY150" s="116"/>
      <c r="IZ150" s="116"/>
    </row>
    <row r="151" spans="1:260" s="35" customFormat="1" x14ac:dyDescent="0.3">
      <c r="A151" s="1"/>
      <c r="B151" s="158" t="s">
        <v>208</v>
      </c>
      <c r="C151" s="240">
        <f t="shared" si="37"/>
        <v>0</v>
      </c>
      <c r="D151" s="240">
        <f t="shared" si="37"/>
        <v>9426013316.5295601</v>
      </c>
      <c r="E151" s="240">
        <f t="shared" si="37"/>
        <v>968283302.43560219</v>
      </c>
      <c r="F151" s="240">
        <f t="shared" si="37"/>
        <v>1219966080.0382061</v>
      </c>
      <c r="G151" s="240">
        <f t="shared" si="37"/>
        <v>1208294085.2667618</v>
      </c>
      <c r="H151" s="240">
        <f t="shared" si="37"/>
        <v>1333269502.1509628</v>
      </c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  <c r="AT151" s="116"/>
      <c r="AU151" s="116"/>
      <c r="AV151" s="116"/>
      <c r="AW151" s="116"/>
      <c r="AX151" s="116"/>
      <c r="AY151" s="116"/>
      <c r="AZ151" s="116"/>
      <c r="BA151" s="116"/>
      <c r="BB151" s="116"/>
      <c r="BC151" s="116"/>
      <c r="BD151" s="116"/>
      <c r="BE151" s="116"/>
      <c r="BF151" s="116"/>
      <c r="BG151" s="116"/>
      <c r="BH151" s="116"/>
      <c r="BI151" s="116"/>
      <c r="BJ151" s="116"/>
      <c r="BK151" s="116"/>
      <c r="BL151" s="116"/>
      <c r="BM151" s="116"/>
      <c r="BN151" s="116"/>
      <c r="BO151" s="116"/>
      <c r="BP151" s="116"/>
      <c r="BQ151" s="116"/>
      <c r="BR151" s="116"/>
      <c r="BS151" s="116"/>
      <c r="BT151" s="116"/>
      <c r="BU151" s="116"/>
      <c r="BV151" s="116"/>
      <c r="BW151" s="116"/>
      <c r="BX151" s="116"/>
      <c r="BY151" s="116"/>
      <c r="BZ151" s="116"/>
      <c r="CA151" s="116"/>
      <c r="CB151" s="116"/>
      <c r="CC151" s="116"/>
      <c r="CD151" s="116"/>
      <c r="CE151" s="116"/>
      <c r="CF151" s="116"/>
      <c r="CG151" s="116"/>
      <c r="CH151" s="116"/>
      <c r="CI151" s="116"/>
      <c r="CJ151" s="116"/>
      <c r="CK151" s="116"/>
      <c r="CL151" s="116"/>
      <c r="CM151" s="116"/>
      <c r="CN151" s="116"/>
      <c r="CO151" s="116"/>
      <c r="CP151" s="116"/>
      <c r="CQ151" s="116"/>
      <c r="CR151" s="116"/>
      <c r="CS151" s="116"/>
      <c r="CT151" s="116"/>
      <c r="CU151" s="116"/>
      <c r="CV151" s="116"/>
      <c r="CW151" s="116"/>
      <c r="CX151" s="116"/>
      <c r="CY151" s="116"/>
      <c r="CZ151" s="116"/>
      <c r="DA151" s="116"/>
      <c r="DB151" s="116"/>
      <c r="DC151" s="116"/>
      <c r="DD151" s="116"/>
      <c r="DE151" s="116"/>
      <c r="DF151" s="116"/>
      <c r="DG151" s="116"/>
      <c r="DH151" s="116"/>
      <c r="DI151" s="116"/>
      <c r="DJ151" s="116"/>
      <c r="DK151" s="116"/>
      <c r="DL151" s="116"/>
      <c r="DM151" s="116"/>
      <c r="DN151" s="116"/>
      <c r="DO151" s="116"/>
      <c r="DP151" s="116"/>
      <c r="DQ151" s="116"/>
      <c r="DR151" s="116"/>
      <c r="DS151" s="116"/>
      <c r="DT151" s="116"/>
      <c r="DU151" s="116"/>
      <c r="DV151" s="116"/>
      <c r="DW151" s="116"/>
      <c r="DX151" s="116"/>
      <c r="DY151" s="116"/>
      <c r="DZ151" s="116"/>
      <c r="EA151" s="116"/>
      <c r="EB151" s="116"/>
      <c r="EC151" s="116"/>
      <c r="ED151" s="116"/>
      <c r="EE151" s="116"/>
      <c r="EF151" s="116"/>
      <c r="EG151" s="116"/>
      <c r="EH151" s="116"/>
      <c r="EI151" s="116"/>
      <c r="EJ151" s="116"/>
      <c r="EK151" s="116"/>
      <c r="EL151" s="116"/>
      <c r="EM151" s="116"/>
      <c r="EN151" s="116"/>
      <c r="EO151" s="116"/>
      <c r="EP151" s="116"/>
      <c r="EQ151" s="116"/>
      <c r="ER151" s="116"/>
      <c r="ES151" s="116"/>
      <c r="ET151" s="116"/>
      <c r="EU151" s="116"/>
      <c r="EV151" s="116"/>
      <c r="EW151" s="116"/>
      <c r="EX151" s="116"/>
      <c r="EY151" s="116"/>
      <c r="EZ151" s="116"/>
      <c r="FA151" s="116"/>
      <c r="FB151" s="116"/>
      <c r="FC151" s="116"/>
      <c r="FD151" s="116"/>
      <c r="FE151" s="116"/>
      <c r="FF151" s="116"/>
      <c r="FG151" s="116"/>
      <c r="FH151" s="116"/>
      <c r="FI151" s="116"/>
      <c r="FJ151" s="116"/>
      <c r="FK151" s="116"/>
      <c r="FL151" s="116"/>
      <c r="FM151" s="116"/>
      <c r="FN151" s="116"/>
      <c r="FO151" s="116"/>
      <c r="FP151" s="116"/>
      <c r="FQ151" s="116"/>
      <c r="FR151" s="116"/>
      <c r="FS151" s="116"/>
      <c r="FT151" s="116"/>
      <c r="FU151" s="116"/>
      <c r="FV151" s="116"/>
      <c r="FW151" s="116"/>
      <c r="FX151" s="116"/>
      <c r="FY151" s="116"/>
      <c r="FZ151" s="116"/>
      <c r="GA151" s="116"/>
      <c r="GB151" s="116"/>
      <c r="GC151" s="116"/>
      <c r="GD151" s="116"/>
      <c r="GE151" s="116"/>
      <c r="GF151" s="116"/>
      <c r="GG151" s="116"/>
      <c r="GH151" s="116"/>
      <c r="GI151" s="116"/>
      <c r="GJ151" s="116"/>
      <c r="GK151" s="116"/>
      <c r="GL151" s="116"/>
      <c r="GM151" s="116"/>
      <c r="GN151" s="116"/>
      <c r="GO151" s="116"/>
      <c r="GP151" s="116"/>
      <c r="GQ151" s="116"/>
      <c r="GR151" s="116"/>
      <c r="GS151" s="116"/>
      <c r="GT151" s="116"/>
      <c r="GU151" s="116"/>
      <c r="GV151" s="116"/>
      <c r="GW151" s="116"/>
      <c r="GX151" s="116"/>
      <c r="GY151" s="116"/>
      <c r="GZ151" s="116"/>
      <c r="HA151" s="116"/>
      <c r="HB151" s="116"/>
      <c r="HC151" s="116"/>
      <c r="HD151" s="116"/>
      <c r="HE151" s="116"/>
      <c r="HF151" s="116"/>
      <c r="HG151" s="116"/>
      <c r="HH151" s="116"/>
      <c r="HI151" s="116"/>
      <c r="HJ151" s="116"/>
      <c r="HK151" s="116"/>
      <c r="HL151" s="116"/>
      <c r="HM151" s="116"/>
      <c r="HN151" s="116"/>
      <c r="HO151" s="116"/>
      <c r="HP151" s="116"/>
      <c r="HQ151" s="116"/>
      <c r="HR151" s="116"/>
      <c r="HS151" s="116"/>
      <c r="HT151" s="116"/>
      <c r="HU151" s="116"/>
      <c r="HV151" s="116"/>
      <c r="HW151" s="116"/>
      <c r="HX151" s="116"/>
      <c r="HY151" s="116"/>
      <c r="HZ151" s="116"/>
      <c r="IA151" s="116"/>
      <c r="IB151" s="116"/>
      <c r="IC151" s="116"/>
      <c r="ID151" s="116"/>
      <c r="IE151" s="116"/>
      <c r="IF151" s="116"/>
      <c r="IG151" s="116"/>
      <c r="IH151" s="116"/>
      <c r="II151" s="116"/>
      <c r="IJ151" s="116"/>
      <c r="IK151" s="116"/>
      <c r="IL151" s="116"/>
      <c r="IM151" s="116"/>
      <c r="IN151" s="116"/>
      <c r="IO151" s="116"/>
      <c r="IP151" s="116"/>
      <c r="IQ151" s="116"/>
      <c r="IR151" s="116"/>
      <c r="IS151" s="116"/>
      <c r="IT151" s="116"/>
      <c r="IU151" s="116"/>
      <c r="IV151" s="116"/>
      <c r="IW151" s="116"/>
      <c r="IX151" s="116"/>
      <c r="IY151" s="116"/>
      <c r="IZ151" s="116"/>
    </row>
    <row r="152" spans="1:260" s="35" customFormat="1" x14ac:dyDescent="0.3">
      <c r="A152" s="1"/>
      <c r="B152" s="141" t="s">
        <v>191</v>
      </c>
      <c r="C152" s="236">
        <f>+C113</f>
        <v>0</v>
      </c>
      <c r="D152" s="236">
        <f t="shared" si="37"/>
        <v>0</v>
      </c>
      <c r="E152" s="236">
        <f t="shared" si="37"/>
        <v>0</v>
      </c>
      <c r="F152" s="236">
        <f t="shared" si="37"/>
        <v>0</v>
      </c>
      <c r="G152" s="236">
        <f t="shared" si="37"/>
        <v>0</v>
      </c>
      <c r="H152" s="236">
        <f>+H113</f>
        <v>14155826286.421093</v>
      </c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6"/>
      <c r="AU152" s="116"/>
      <c r="AV152" s="116"/>
      <c r="AW152" s="116"/>
      <c r="AX152" s="116"/>
      <c r="AY152" s="116"/>
      <c r="AZ152" s="116"/>
      <c r="BA152" s="116"/>
      <c r="BB152" s="116"/>
      <c r="BC152" s="116"/>
      <c r="BD152" s="116"/>
      <c r="BE152" s="116"/>
      <c r="BF152" s="116"/>
      <c r="BG152" s="116"/>
      <c r="BH152" s="116"/>
      <c r="BI152" s="116"/>
      <c r="BJ152" s="116"/>
      <c r="BK152" s="116"/>
      <c r="BL152" s="116"/>
      <c r="BM152" s="116"/>
      <c r="BN152" s="116"/>
      <c r="BO152" s="116"/>
      <c r="BP152" s="116"/>
      <c r="BQ152" s="116"/>
      <c r="BR152" s="116"/>
      <c r="BS152" s="116"/>
      <c r="BT152" s="116"/>
      <c r="BU152" s="116"/>
      <c r="BV152" s="116"/>
      <c r="BW152" s="116"/>
      <c r="BX152" s="116"/>
      <c r="BY152" s="116"/>
      <c r="BZ152" s="116"/>
      <c r="CA152" s="116"/>
      <c r="CB152" s="116"/>
      <c r="CC152" s="116"/>
      <c r="CD152" s="116"/>
      <c r="CE152" s="116"/>
      <c r="CF152" s="116"/>
      <c r="CG152" s="116"/>
      <c r="CH152" s="116"/>
      <c r="CI152" s="116"/>
      <c r="CJ152" s="116"/>
      <c r="CK152" s="116"/>
      <c r="CL152" s="116"/>
      <c r="CM152" s="116"/>
      <c r="CN152" s="116"/>
      <c r="CO152" s="116"/>
      <c r="CP152" s="116"/>
      <c r="CQ152" s="116"/>
      <c r="CR152" s="116"/>
      <c r="CS152" s="116"/>
      <c r="CT152" s="116"/>
      <c r="CU152" s="116"/>
      <c r="CV152" s="116"/>
      <c r="CW152" s="116"/>
      <c r="CX152" s="116"/>
      <c r="CY152" s="116"/>
      <c r="CZ152" s="116"/>
      <c r="DA152" s="116"/>
      <c r="DB152" s="116"/>
      <c r="DC152" s="116"/>
      <c r="DD152" s="116"/>
      <c r="DE152" s="116"/>
      <c r="DF152" s="116"/>
      <c r="DG152" s="116"/>
      <c r="DH152" s="116"/>
      <c r="DI152" s="116"/>
      <c r="DJ152" s="116"/>
      <c r="DK152" s="116"/>
      <c r="DL152" s="116"/>
      <c r="DM152" s="116"/>
      <c r="DN152" s="116"/>
      <c r="DO152" s="116"/>
      <c r="DP152" s="116"/>
      <c r="DQ152" s="116"/>
      <c r="DR152" s="116"/>
      <c r="DS152" s="116"/>
      <c r="DT152" s="116"/>
      <c r="DU152" s="116"/>
      <c r="DV152" s="116"/>
      <c r="DW152" s="116"/>
      <c r="DX152" s="116"/>
      <c r="DY152" s="116"/>
      <c r="DZ152" s="116"/>
      <c r="EA152" s="116"/>
      <c r="EB152" s="116"/>
      <c r="EC152" s="116"/>
      <c r="ED152" s="116"/>
      <c r="EE152" s="116"/>
      <c r="EF152" s="116"/>
      <c r="EG152" s="116"/>
      <c r="EH152" s="116"/>
      <c r="EI152" s="116"/>
      <c r="EJ152" s="116"/>
      <c r="EK152" s="116"/>
      <c r="EL152" s="116"/>
      <c r="EM152" s="116"/>
      <c r="EN152" s="116"/>
      <c r="EO152" s="116"/>
      <c r="EP152" s="116"/>
      <c r="EQ152" s="116"/>
      <c r="ER152" s="116"/>
      <c r="ES152" s="116"/>
      <c r="ET152" s="116"/>
      <c r="EU152" s="116"/>
      <c r="EV152" s="116"/>
      <c r="EW152" s="116"/>
      <c r="EX152" s="116"/>
      <c r="EY152" s="116"/>
      <c r="EZ152" s="116"/>
      <c r="FA152" s="116"/>
      <c r="FB152" s="116"/>
      <c r="FC152" s="116"/>
      <c r="FD152" s="116"/>
      <c r="FE152" s="116"/>
      <c r="FF152" s="116"/>
      <c r="FG152" s="116"/>
      <c r="FH152" s="116"/>
      <c r="FI152" s="116"/>
      <c r="FJ152" s="116"/>
      <c r="FK152" s="116"/>
      <c r="FL152" s="116"/>
      <c r="FM152" s="116"/>
      <c r="FN152" s="116"/>
      <c r="FO152" s="116"/>
      <c r="FP152" s="116"/>
      <c r="FQ152" s="116"/>
      <c r="FR152" s="116"/>
      <c r="FS152" s="116"/>
      <c r="FT152" s="116"/>
      <c r="FU152" s="116"/>
      <c r="FV152" s="116"/>
      <c r="FW152" s="116"/>
      <c r="FX152" s="116"/>
      <c r="FY152" s="116"/>
      <c r="FZ152" s="116"/>
      <c r="GA152" s="116"/>
      <c r="GB152" s="116"/>
      <c r="GC152" s="116"/>
      <c r="GD152" s="116"/>
      <c r="GE152" s="116"/>
      <c r="GF152" s="116"/>
      <c r="GG152" s="116"/>
      <c r="GH152" s="116"/>
      <c r="GI152" s="116"/>
      <c r="GJ152" s="116"/>
      <c r="GK152" s="116"/>
      <c r="GL152" s="116"/>
      <c r="GM152" s="116"/>
      <c r="GN152" s="116"/>
      <c r="GO152" s="116"/>
      <c r="GP152" s="116"/>
      <c r="GQ152" s="116"/>
      <c r="GR152" s="116"/>
      <c r="GS152" s="116"/>
      <c r="GT152" s="116"/>
      <c r="GU152" s="116"/>
      <c r="GV152" s="116"/>
      <c r="GW152" s="116"/>
      <c r="GX152" s="116"/>
      <c r="GY152" s="116"/>
      <c r="GZ152" s="116"/>
      <c r="HA152" s="116"/>
      <c r="HB152" s="116"/>
      <c r="HC152" s="116"/>
      <c r="HD152" s="116"/>
      <c r="HE152" s="116"/>
      <c r="HF152" s="116"/>
      <c r="HG152" s="116"/>
      <c r="HH152" s="116"/>
      <c r="HI152" s="116"/>
      <c r="HJ152" s="116"/>
      <c r="HK152" s="116"/>
      <c r="HL152" s="116"/>
      <c r="HM152" s="116"/>
      <c r="HN152" s="116"/>
      <c r="HO152" s="116"/>
      <c r="HP152" s="116"/>
      <c r="HQ152" s="116"/>
      <c r="HR152" s="116"/>
      <c r="HS152" s="116"/>
      <c r="HT152" s="116"/>
      <c r="HU152" s="116"/>
      <c r="HV152" s="116"/>
      <c r="HW152" s="116"/>
      <c r="HX152" s="116"/>
      <c r="HY152" s="116"/>
      <c r="HZ152" s="116"/>
      <c r="IA152" s="116"/>
      <c r="IB152" s="116"/>
      <c r="IC152" s="116"/>
      <c r="ID152" s="116"/>
      <c r="IE152" s="116"/>
      <c r="IF152" s="116"/>
      <c r="IG152" s="116"/>
      <c r="IH152" s="116"/>
      <c r="II152" s="116"/>
      <c r="IJ152" s="116"/>
      <c r="IK152" s="116"/>
      <c r="IL152" s="116"/>
      <c r="IM152" s="116"/>
      <c r="IN152" s="116"/>
      <c r="IO152" s="116"/>
      <c r="IP152" s="116"/>
      <c r="IQ152" s="116"/>
      <c r="IR152" s="116"/>
      <c r="IS152" s="116"/>
      <c r="IT152" s="116"/>
      <c r="IU152" s="116"/>
      <c r="IV152" s="116"/>
      <c r="IW152" s="116"/>
      <c r="IX152" s="116"/>
      <c r="IY152" s="116"/>
      <c r="IZ152" s="116"/>
    </row>
    <row r="153" spans="1:260" s="35" customFormat="1" x14ac:dyDescent="0.3">
      <c r="A153" s="1"/>
      <c r="B153" s="245" t="s">
        <v>209</v>
      </c>
      <c r="C153" s="241">
        <v>50000000</v>
      </c>
      <c r="D153" s="241"/>
      <c r="E153" s="241"/>
      <c r="F153" s="241"/>
      <c r="G153" s="241"/>
      <c r="H153" s="242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6"/>
      <c r="AU153" s="116"/>
      <c r="AV153" s="116"/>
      <c r="AW153" s="116"/>
      <c r="AX153" s="116"/>
      <c r="AY153" s="116"/>
      <c r="AZ153" s="116"/>
      <c r="BA153" s="116"/>
      <c r="BB153" s="116"/>
      <c r="BC153" s="116"/>
      <c r="BD153" s="116"/>
      <c r="BE153" s="116"/>
      <c r="BF153" s="116"/>
      <c r="BG153" s="116"/>
      <c r="BH153" s="116"/>
      <c r="BI153" s="116"/>
      <c r="BJ153" s="116"/>
      <c r="BK153" s="116"/>
      <c r="BL153" s="116"/>
      <c r="BM153" s="116"/>
      <c r="BN153" s="116"/>
      <c r="BO153" s="116"/>
      <c r="BP153" s="116"/>
      <c r="BQ153" s="116"/>
      <c r="BR153" s="116"/>
      <c r="BS153" s="116"/>
      <c r="BT153" s="116"/>
      <c r="BU153" s="116"/>
      <c r="BV153" s="116"/>
      <c r="BW153" s="116"/>
      <c r="BX153" s="116"/>
      <c r="BY153" s="116"/>
      <c r="BZ153" s="116"/>
      <c r="CA153" s="116"/>
      <c r="CB153" s="116"/>
      <c r="CC153" s="116"/>
      <c r="CD153" s="116"/>
      <c r="CE153" s="116"/>
      <c r="CF153" s="116"/>
      <c r="CG153" s="116"/>
      <c r="CH153" s="116"/>
      <c r="CI153" s="116"/>
      <c r="CJ153" s="116"/>
      <c r="CK153" s="116"/>
      <c r="CL153" s="116"/>
      <c r="CM153" s="116"/>
      <c r="CN153" s="116"/>
      <c r="CO153" s="116"/>
      <c r="CP153" s="116"/>
      <c r="CQ153" s="116"/>
      <c r="CR153" s="116"/>
      <c r="CS153" s="116"/>
      <c r="CT153" s="116"/>
      <c r="CU153" s="116"/>
      <c r="CV153" s="116"/>
      <c r="CW153" s="116"/>
      <c r="CX153" s="116"/>
      <c r="CY153" s="116"/>
      <c r="CZ153" s="116"/>
      <c r="DA153" s="116"/>
      <c r="DB153" s="116"/>
      <c r="DC153" s="116"/>
      <c r="DD153" s="116"/>
      <c r="DE153" s="116"/>
      <c r="DF153" s="116"/>
      <c r="DG153" s="116"/>
      <c r="DH153" s="116"/>
      <c r="DI153" s="116"/>
      <c r="DJ153" s="116"/>
      <c r="DK153" s="116"/>
      <c r="DL153" s="116"/>
      <c r="DM153" s="116"/>
      <c r="DN153" s="116"/>
      <c r="DO153" s="116"/>
      <c r="DP153" s="116"/>
      <c r="DQ153" s="116"/>
      <c r="DR153" s="116"/>
      <c r="DS153" s="116"/>
      <c r="DT153" s="116"/>
      <c r="DU153" s="116"/>
      <c r="DV153" s="116"/>
      <c r="DW153" s="116"/>
      <c r="DX153" s="116"/>
      <c r="DY153" s="116"/>
      <c r="DZ153" s="116"/>
      <c r="EA153" s="116"/>
      <c r="EB153" s="116"/>
      <c r="EC153" s="116"/>
      <c r="ED153" s="116"/>
      <c r="EE153" s="116"/>
      <c r="EF153" s="116"/>
      <c r="EG153" s="116"/>
      <c r="EH153" s="116"/>
      <c r="EI153" s="116"/>
      <c r="EJ153" s="116"/>
      <c r="EK153" s="116"/>
      <c r="EL153" s="116"/>
      <c r="EM153" s="116"/>
      <c r="EN153" s="116"/>
      <c r="EO153" s="116"/>
      <c r="EP153" s="116"/>
      <c r="EQ153" s="116"/>
      <c r="ER153" s="116"/>
      <c r="ES153" s="116"/>
      <c r="ET153" s="116"/>
      <c r="EU153" s="116"/>
      <c r="EV153" s="116"/>
      <c r="EW153" s="116"/>
      <c r="EX153" s="116"/>
      <c r="EY153" s="116"/>
      <c r="EZ153" s="116"/>
      <c r="FA153" s="116"/>
      <c r="FB153" s="116"/>
      <c r="FC153" s="116"/>
      <c r="FD153" s="116"/>
      <c r="FE153" s="116"/>
      <c r="FF153" s="116"/>
      <c r="FG153" s="116"/>
      <c r="FH153" s="116"/>
      <c r="FI153" s="116"/>
      <c r="FJ153" s="116"/>
      <c r="FK153" s="116"/>
      <c r="FL153" s="116"/>
      <c r="FM153" s="116"/>
      <c r="FN153" s="116"/>
      <c r="FO153" s="116"/>
      <c r="FP153" s="116"/>
      <c r="FQ153" s="116"/>
      <c r="FR153" s="116"/>
      <c r="FS153" s="116"/>
      <c r="FT153" s="116"/>
      <c r="FU153" s="116"/>
      <c r="FV153" s="116"/>
      <c r="FW153" s="116"/>
      <c r="FX153" s="116"/>
      <c r="FY153" s="116"/>
      <c r="FZ153" s="116"/>
      <c r="GA153" s="116"/>
      <c r="GB153" s="116"/>
      <c r="GC153" s="116"/>
      <c r="GD153" s="116"/>
      <c r="GE153" s="116"/>
      <c r="GF153" s="116"/>
      <c r="GG153" s="116"/>
      <c r="GH153" s="116"/>
      <c r="GI153" s="116"/>
      <c r="GJ153" s="116"/>
      <c r="GK153" s="116"/>
      <c r="GL153" s="116"/>
      <c r="GM153" s="116"/>
      <c r="GN153" s="116"/>
      <c r="GO153" s="116"/>
      <c r="GP153" s="116"/>
      <c r="GQ153" s="116"/>
      <c r="GR153" s="116"/>
      <c r="GS153" s="116"/>
      <c r="GT153" s="116"/>
      <c r="GU153" s="116"/>
      <c r="GV153" s="116"/>
      <c r="GW153" s="116"/>
      <c r="GX153" s="116"/>
      <c r="GY153" s="116"/>
      <c r="GZ153" s="116"/>
      <c r="HA153" s="116"/>
      <c r="HB153" s="116"/>
      <c r="HC153" s="116"/>
      <c r="HD153" s="116"/>
      <c r="HE153" s="116"/>
      <c r="HF153" s="116"/>
      <c r="HG153" s="116"/>
      <c r="HH153" s="116"/>
      <c r="HI153" s="116"/>
      <c r="HJ153" s="116"/>
      <c r="HK153" s="116"/>
      <c r="HL153" s="116"/>
      <c r="HM153" s="116"/>
      <c r="HN153" s="116"/>
      <c r="HO153" s="116"/>
      <c r="HP153" s="116"/>
      <c r="HQ153" s="116"/>
      <c r="HR153" s="116"/>
      <c r="HS153" s="116"/>
      <c r="HT153" s="116"/>
      <c r="HU153" s="116"/>
      <c r="HV153" s="116"/>
      <c r="HW153" s="116"/>
      <c r="HX153" s="116"/>
      <c r="HY153" s="116"/>
      <c r="HZ153" s="116"/>
      <c r="IA153" s="116"/>
      <c r="IB153" s="116"/>
      <c r="IC153" s="116"/>
      <c r="ID153" s="116"/>
      <c r="IE153" s="116"/>
      <c r="IF153" s="116"/>
      <c r="IG153" s="116"/>
      <c r="IH153" s="116"/>
      <c r="II153" s="116"/>
      <c r="IJ153" s="116"/>
      <c r="IK153" s="116"/>
      <c r="IL153" s="116"/>
      <c r="IM153" s="116"/>
      <c r="IN153" s="116"/>
      <c r="IO153" s="116"/>
      <c r="IP153" s="116"/>
      <c r="IQ153" s="116"/>
      <c r="IR153" s="116"/>
      <c r="IS153" s="116"/>
      <c r="IT153" s="116"/>
      <c r="IU153" s="116"/>
      <c r="IV153" s="116"/>
      <c r="IW153" s="116"/>
      <c r="IX153" s="116"/>
      <c r="IY153" s="116"/>
      <c r="IZ153" s="116"/>
    </row>
    <row r="154" spans="1:260" s="35" customFormat="1" x14ac:dyDescent="0.3">
      <c r="A154" s="1"/>
      <c r="B154" s="245" t="s">
        <v>210</v>
      </c>
      <c r="C154" s="241"/>
      <c r="D154" s="241">
        <f>+E126</f>
        <v>6105417.3572230078</v>
      </c>
      <c r="E154" s="241">
        <f>+E127</f>
        <v>7625055.737435814</v>
      </c>
      <c r="F154" s="241">
        <f>+E128</f>
        <v>9522932.1104835887</v>
      </c>
      <c r="G154" s="241">
        <f>+E129</f>
        <v>11893189.912782952</v>
      </c>
      <c r="H154" s="243">
        <f>+E130</f>
        <v>14853404.88207463</v>
      </c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6"/>
      <c r="AU154" s="116"/>
      <c r="AV154" s="116"/>
      <c r="AW154" s="116"/>
      <c r="AX154" s="116"/>
      <c r="AY154" s="116"/>
      <c r="AZ154" s="116"/>
      <c r="BA154" s="116"/>
      <c r="BB154" s="116"/>
      <c r="BC154" s="116"/>
      <c r="BD154" s="116"/>
      <c r="BE154" s="116"/>
      <c r="BF154" s="116"/>
      <c r="BG154" s="116"/>
      <c r="BH154" s="116"/>
      <c r="BI154" s="116"/>
      <c r="BJ154" s="116"/>
      <c r="BK154" s="116"/>
      <c r="BL154" s="116"/>
      <c r="BM154" s="116"/>
      <c r="BN154" s="116"/>
      <c r="BO154" s="116"/>
      <c r="BP154" s="116"/>
      <c r="BQ154" s="116"/>
      <c r="BR154" s="116"/>
      <c r="BS154" s="116"/>
      <c r="BT154" s="116"/>
      <c r="BU154" s="116"/>
      <c r="BV154" s="116"/>
      <c r="BW154" s="116"/>
      <c r="BX154" s="116"/>
      <c r="BY154" s="116"/>
      <c r="BZ154" s="116"/>
      <c r="CA154" s="116"/>
      <c r="CB154" s="116"/>
      <c r="CC154" s="116"/>
      <c r="CD154" s="116"/>
      <c r="CE154" s="116"/>
      <c r="CF154" s="116"/>
      <c r="CG154" s="116"/>
      <c r="CH154" s="116"/>
      <c r="CI154" s="116"/>
      <c r="CJ154" s="116"/>
      <c r="CK154" s="116"/>
      <c r="CL154" s="116"/>
      <c r="CM154" s="116"/>
      <c r="CN154" s="116"/>
      <c r="CO154" s="116"/>
      <c r="CP154" s="116"/>
      <c r="CQ154" s="116"/>
      <c r="CR154" s="116"/>
      <c r="CS154" s="116"/>
      <c r="CT154" s="116"/>
      <c r="CU154" s="116"/>
      <c r="CV154" s="116"/>
      <c r="CW154" s="116"/>
      <c r="CX154" s="116"/>
      <c r="CY154" s="116"/>
      <c r="CZ154" s="116"/>
      <c r="DA154" s="116"/>
      <c r="DB154" s="116"/>
      <c r="DC154" s="116"/>
      <c r="DD154" s="116"/>
      <c r="DE154" s="116"/>
      <c r="DF154" s="116"/>
      <c r="DG154" s="116"/>
      <c r="DH154" s="116"/>
      <c r="DI154" s="116"/>
      <c r="DJ154" s="116"/>
      <c r="DK154" s="116"/>
      <c r="DL154" s="116"/>
      <c r="DM154" s="116"/>
      <c r="DN154" s="116"/>
      <c r="DO154" s="116"/>
      <c r="DP154" s="116"/>
      <c r="DQ154" s="116"/>
      <c r="DR154" s="116"/>
      <c r="DS154" s="116"/>
      <c r="DT154" s="116"/>
      <c r="DU154" s="116"/>
      <c r="DV154" s="116"/>
      <c r="DW154" s="116"/>
      <c r="DX154" s="116"/>
      <c r="DY154" s="116"/>
      <c r="DZ154" s="116"/>
      <c r="EA154" s="116"/>
      <c r="EB154" s="116"/>
      <c r="EC154" s="116"/>
      <c r="ED154" s="116"/>
      <c r="EE154" s="116"/>
      <c r="EF154" s="116"/>
      <c r="EG154" s="116"/>
      <c r="EH154" s="116"/>
      <c r="EI154" s="116"/>
      <c r="EJ154" s="116"/>
      <c r="EK154" s="116"/>
      <c r="EL154" s="116"/>
      <c r="EM154" s="116"/>
      <c r="EN154" s="116"/>
      <c r="EO154" s="116"/>
      <c r="EP154" s="116"/>
      <c r="EQ154" s="116"/>
      <c r="ER154" s="116"/>
      <c r="ES154" s="116"/>
      <c r="ET154" s="116"/>
      <c r="EU154" s="116"/>
      <c r="EV154" s="116"/>
      <c r="EW154" s="116"/>
      <c r="EX154" s="116"/>
      <c r="EY154" s="116"/>
      <c r="EZ154" s="116"/>
      <c r="FA154" s="116"/>
      <c r="FB154" s="116"/>
      <c r="FC154" s="116"/>
      <c r="FD154" s="116"/>
      <c r="FE154" s="116"/>
      <c r="FF154" s="116"/>
      <c r="FG154" s="116"/>
      <c r="FH154" s="116"/>
      <c r="FI154" s="116"/>
      <c r="FJ154" s="116"/>
      <c r="FK154" s="116"/>
      <c r="FL154" s="116"/>
      <c r="FM154" s="116"/>
      <c r="FN154" s="116"/>
      <c r="FO154" s="116"/>
      <c r="FP154" s="116"/>
      <c r="FQ154" s="116"/>
      <c r="FR154" s="116"/>
      <c r="FS154" s="116"/>
      <c r="FT154" s="116"/>
      <c r="FU154" s="116"/>
      <c r="FV154" s="116"/>
      <c r="FW154" s="116"/>
      <c r="FX154" s="116"/>
      <c r="FY154" s="116"/>
      <c r="FZ154" s="116"/>
      <c r="GA154" s="116"/>
      <c r="GB154" s="116"/>
      <c r="GC154" s="116"/>
      <c r="GD154" s="116"/>
      <c r="GE154" s="116"/>
      <c r="GF154" s="116"/>
      <c r="GG154" s="116"/>
      <c r="GH154" s="116"/>
      <c r="GI154" s="116"/>
      <c r="GJ154" s="116"/>
      <c r="GK154" s="116"/>
      <c r="GL154" s="116"/>
      <c r="GM154" s="116"/>
      <c r="GN154" s="116"/>
      <c r="GO154" s="116"/>
      <c r="GP154" s="116"/>
      <c r="GQ154" s="116"/>
      <c r="GR154" s="116"/>
      <c r="GS154" s="116"/>
      <c r="GT154" s="116"/>
      <c r="GU154" s="116"/>
      <c r="GV154" s="116"/>
      <c r="GW154" s="116"/>
      <c r="GX154" s="116"/>
      <c r="GY154" s="116"/>
      <c r="GZ154" s="116"/>
      <c r="HA154" s="116"/>
      <c r="HB154" s="116"/>
      <c r="HC154" s="116"/>
      <c r="HD154" s="116"/>
      <c r="HE154" s="116"/>
      <c r="HF154" s="116"/>
      <c r="HG154" s="116"/>
      <c r="HH154" s="116"/>
      <c r="HI154" s="116"/>
      <c r="HJ154" s="116"/>
      <c r="HK154" s="116"/>
      <c r="HL154" s="116"/>
      <c r="HM154" s="116"/>
      <c r="HN154" s="116"/>
      <c r="HO154" s="116"/>
      <c r="HP154" s="116"/>
      <c r="HQ154" s="116"/>
      <c r="HR154" s="116"/>
      <c r="HS154" s="116"/>
      <c r="HT154" s="116"/>
      <c r="HU154" s="116"/>
      <c r="HV154" s="116"/>
      <c r="HW154" s="116"/>
      <c r="HX154" s="116"/>
      <c r="HY154" s="116"/>
      <c r="HZ154" s="116"/>
      <c r="IA154" s="116"/>
      <c r="IB154" s="116"/>
      <c r="IC154" s="116"/>
      <c r="ID154" s="116"/>
      <c r="IE154" s="116"/>
      <c r="IF154" s="116"/>
      <c r="IG154" s="116"/>
      <c r="IH154" s="116"/>
      <c r="II154" s="116"/>
      <c r="IJ154" s="116"/>
      <c r="IK154" s="116"/>
      <c r="IL154" s="116"/>
      <c r="IM154" s="116"/>
      <c r="IN154" s="116"/>
      <c r="IO154" s="116"/>
      <c r="IP154" s="116"/>
      <c r="IQ154" s="116"/>
      <c r="IR154" s="116"/>
      <c r="IS154" s="116"/>
      <c r="IT154" s="116"/>
      <c r="IU154" s="116"/>
      <c r="IV154" s="116"/>
      <c r="IW154" s="116"/>
      <c r="IX154" s="116"/>
      <c r="IY154" s="116"/>
      <c r="IZ154" s="116"/>
    </row>
    <row r="155" spans="1:260" x14ac:dyDescent="0.3">
      <c r="B155" s="141" t="s">
        <v>192</v>
      </c>
      <c r="C155" s="236"/>
      <c r="D155" s="236"/>
      <c r="E155" s="236"/>
      <c r="F155" s="236"/>
      <c r="G155" s="236"/>
      <c r="H155" s="167">
        <f>+H114</f>
        <v>5625000</v>
      </c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  <c r="AU155" s="116"/>
      <c r="AV155" s="116"/>
      <c r="AW155" s="116"/>
      <c r="AX155" s="116"/>
      <c r="AY155" s="116"/>
      <c r="AZ155" s="116"/>
      <c r="BA155" s="116"/>
      <c r="BB155" s="116"/>
      <c r="BC155" s="116"/>
      <c r="BD155" s="116"/>
      <c r="BE155" s="116"/>
      <c r="BF155" s="116"/>
      <c r="BG155" s="116"/>
      <c r="BH155" s="116"/>
      <c r="BI155" s="116"/>
      <c r="BJ155" s="116"/>
      <c r="BK155" s="116"/>
      <c r="BL155" s="116"/>
      <c r="BM155" s="116"/>
      <c r="BN155" s="116"/>
      <c r="BO155" s="116"/>
      <c r="BP155" s="116"/>
      <c r="BQ155" s="116"/>
      <c r="BR155" s="116"/>
      <c r="BS155" s="116"/>
      <c r="BT155" s="116"/>
      <c r="BU155" s="116"/>
      <c r="BV155" s="116"/>
      <c r="BW155" s="116"/>
      <c r="BX155" s="116"/>
      <c r="BY155" s="116"/>
      <c r="BZ155" s="116"/>
      <c r="CA155" s="116"/>
      <c r="CB155" s="116"/>
      <c r="CC155" s="116"/>
      <c r="CD155" s="116"/>
      <c r="CE155" s="116"/>
      <c r="CF155" s="116"/>
      <c r="CG155" s="116"/>
      <c r="CH155" s="116"/>
      <c r="CI155" s="116"/>
      <c r="CJ155" s="116"/>
      <c r="CK155" s="116"/>
      <c r="CL155" s="116"/>
      <c r="CM155" s="116"/>
      <c r="CN155" s="116"/>
      <c r="CO155" s="116"/>
      <c r="CP155" s="116"/>
      <c r="CQ155" s="116"/>
      <c r="CR155" s="116"/>
      <c r="CS155" s="116"/>
      <c r="CT155" s="116"/>
      <c r="CU155" s="116"/>
      <c r="CV155" s="116"/>
      <c r="CW155" s="116"/>
      <c r="CX155" s="116"/>
      <c r="CY155" s="116"/>
      <c r="CZ155" s="116"/>
      <c r="DA155" s="116"/>
      <c r="DB155" s="116"/>
      <c r="DC155" s="116"/>
      <c r="DD155" s="116"/>
      <c r="DE155" s="116"/>
      <c r="DF155" s="116"/>
      <c r="DG155" s="116"/>
      <c r="DH155" s="116"/>
      <c r="DI155" s="116"/>
      <c r="DJ155" s="116"/>
      <c r="DK155" s="116"/>
      <c r="DL155" s="116"/>
      <c r="DM155" s="116"/>
      <c r="DN155" s="116"/>
      <c r="DO155" s="116"/>
      <c r="DP155" s="116"/>
      <c r="DQ155" s="116"/>
      <c r="DR155" s="116"/>
      <c r="DS155" s="116"/>
      <c r="DT155" s="116"/>
      <c r="DU155" s="116"/>
      <c r="DV155" s="116"/>
      <c r="DW155" s="116"/>
      <c r="DX155" s="116"/>
      <c r="DY155" s="116"/>
      <c r="DZ155" s="116"/>
      <c r="EA155" s="116"/>
      <c r="EB155" s="116"/>
      <c r="EC155" s="116"/>
      <c r="ED155" s="116"/>
      <c r="EE155" s="116"/>
      <c r="EF155" s="116"/>
      <c r="EG155" s="116"/>
      <c r="EH155" s="116"/>
      <c r="EI155" s="116"/>
      <c r="EJ155" s="116"/>
      <c r="EK155" s="116"/>
      <c r="EL155" s="116"/>
      <c r="EM155" s="116"/>
      <c r="EN155" s="116"/>
      <c r="EO155" s="116"/>
      <c r="EP155" s="116"/>
      <c r="EQ155" s="116"/>
      <c r="ER155" s="116"/>
      <c r="ES155" s="116"/>
      <c r="ET155" s="116"/>
      <c r="EU155" s="116"/>
      <c r="EV155" s="116"/>
      <c r="EW155" s="116"/>
      <c r="EX155" s="116"/>
      <c r="EY155" s="116"/>
      <c r="EZ155" s="116"/>
      <c r="FA155" s="116"/>
      <c r="FB155" s="116"/>
      <c r="FC155" s="116"/>
      <c r="FD155" s="116"/>
      <c r="FE155" s="116"/>
      <c r="FF155" s="116"/>
      <c r="FG155" s="116"/>
      <c r="FH155" s="116"/>
      <c r="FI155" s="116"/>
      <c r="FJ155" s="116"/>
      <c r="FK155" s="116"/>
      <c r="FL155" s="116"/>
      <c r="FM155" s="116"/>
      <c r="FN155" s="116"/>
      <c r="FO155" s="116"/>
      <c r="FP155" s="116"/>
      <c r="FQ155" s="116"/>
      <c r="FR155" s="116"/>
      <c r="FS155" s="116"/>
      <c r="FT155" s="116"/>
      <c r="FU155" s="116"/>
      <c r="FV155" s="116"/>
      <c r="FW155" s="116"/>
      <c r="FX155" s="116"/>
      <c r="FY155" s="116"/>
      <c r="FZ155" s="116"/>
      <c r="GA155" s="116"/>
      <c r="GB155" s="116"/>
      <c r="GC155" s="116"/>
      <c r="GD155" s="116"/>
      <c r="GE155" s="116"/>
      <c r="GF155" s="116"/>
      <c r="GG155" s="116"/>
      <c r="GH155" s="116"/>
      <c r="GI155" s="116"/>
      <c r="GJ155" s="116"/>
      <c r="GK155" s="116"/>
      <c r="GL155" s="116"/>
      <c r="GM155" s="116"/>
      <c r="GN155" s="116"/>
      <c r="GO155" s="116"/>
      <c r="GP155" s="116"/>
      <c r="GQ155" s="116"/>
      <c r="GR155" s="116"/>
      <c r="GS155" s="116"/>
      <c r="GT155" s="116"/>
      <c r="GU155" s="116"/>
      <c r="GV155" s="116"/>
      <c r="GW155" s="116"/>
      <c r="GX155" s="116"/>
      <c r="GY155" s="116"/>
      <c r="GZ155" s="116"/>
      <c r="HA155" s="116"/>
      <c r="HB155" s="116"/>
      <c r="HC155" s="116"/>
      <c r="HD155" s="116"/>
      <c r="HE155" s="116"/>
      <c r="HF155" s="116"/>
      <c r="HG155" s="116"/>
      <c r="HH155" s="116"/>
      <c r="HI155" s="116"/>
      <c r="HJ155" s="116"/>
      <c r="HK155" s="116"/>
      <c r="HL155" s="116"/>
      <c r="HM155" s="116"/>
      <c r="HN155" s="116"/>
      <c r="HO155" s="116"/>
      <c r="HP155" s="116"/>
      <c r="HQ155" s="116"/>
      <c r="HR155" s="116"/>
      <c r="HS155" s="116"/>
      <c r="HT155" s="116"/>
      <c r="HU155" s="116"/>
      <c r="HV155" s="116"/>
      <c r="HW155" s="116"/>
      <c r="HX155" s="116"/>
      <c r="HY155" s="116"/>
      <c r="HZ155" s="116"/>
      <c r="IA155" s="116"/>
      <c r="IB155" s="116"/>
      <c r="IC155" s="116"/>
      <c r="ID155" s="116"/>
      <c r="IE155" s="116"/>
      <c r="IF155" s="116"/>
      <c r="IG155" s="116"/>
      <c r="IH155" s="116"/>
      <c r="II155" s="116"/>
      <c r="IJ155" s="116"/>
      <c r="IK155" s="116"/>
      <c r="IL155" s="116"/>
      <c r="IM155" s="116"/>
      <c r="IN155" s="116"/>
      <c r="IO155" s="116"/>
      <c r="IP155" s="116"/>
      <c r="IQ155" s="116"/>
      <c r="IR155" s="116"/>
      <c r="IS155" s="116"/>
      <c r="IT155" s="116"/>
      <c r="IU155" s="116"/>
      <c r="IV155" s="116"/>
      <c r="IW155" s="116"/>
      <c r="IX155" s="116"/>
      <c r="IY155" s="116"/>
      <c r="IZ155" s="116"/>
    </row>
    <row r="156" spans="1:260" x14ac:dyDescent="0.3">
      <c r="B156" s="246" t="s">
        <v>217</v>
      </c>
      <c r="C156" s="238">
        <f>+C144-C145+C146+C147-C148-C149-C150-C151+C152+C153-C154+C155</f>
        <v>-20705000</v>
      </c>
      <c r="D156" s="238">
        <f>+D144-D145+D146+D147-D148-D149-D150-D151+D152+D153-D154+D155</f>
        <v>-16853241479.632114</v>
      </c>
      <c r="E156" s="238">
        <f>+E144-E145+E146+E147-E148-E149-E150-E151+E152+E153-E154+E155</f>
        <v>-9202317160.187397</v>
      </c>
      <c r="F156" s="238">
        <f>+F144-F145+F146+F147-F148-F149-F150-F151+F152+F153-F154+F155</f>
        <v>16175569997.119804</v>
      </c>
      <c r="G156" s="238">
        <f>+G144-G145+G146+G147-G148-G149-G150-G151+G152+G153-G154+G155</f>
        <v>18369260619.808987</v>
      </c>
      <c r="H156" s="238">
        <f t="shared" ref="H156" si="38">+H144-H145+H146+H147-H148-H149-H150-H151+H152+H153-H154+H155</f>
        <v>34835811337.197563</v>
      </c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  <c r="BD156" s="116"/>
      <c r="BE156" s="116"/>
      <c r="BF156" s="116"/>
      <c r="BG156" s="116"/>
      <c r="BH156" s="116"/>
      <c r="BI156" s="116"/>
      <c r="BJ156" s="116"/>
      <c r="BK156" s="116"/>
      <c r="BL156" s="116"/>
      <c r="BM156" s="116"/>
      <c r="BN156" s="116"/>
      <c r="BO156" s="116"/>
      <c r="BP156" s="116"/>
      <c r="BQ156" s="116"/>
      <c r="BR156" s="116"/>
      <c r="BS156" s="116"/>
      <c r="BT156" s="116"/>
      <c r="BU156" s="116"/>
      <c r="BV156" s="116"/>
      <c r="BW156" s="116"/>
      <c r="BX156" s="116"/>
      <c r="BY156" s="116"/>
      <c r="BZ156" s="116"/>
      <c r="CA156" s="116"/>
      <c r="CB156" s="116"/>
      <c r="CC156" s="116"/>
      <c r="CD156" s="116"/>
      <c r="CE156" s="116"/>
      <c r="CF156" s="116"/>
      <c r="CG156" s="116"/>
      <c r="CH156" s="116"/>
      <c r="CI156" s="116"/>
      <c r="CJ156" s="116"/>
      <c r="CK156" s="116"/>
      <c r="CL156" s="116"/>
      <c r="CM156" s="116"/>
      <c r="CN156" s="116"/>
      <c r="CO156" s="116"/>
      <c r="CP156" s="116"/>
      <c r="CQ156" s="116"/>
      <c r="CR156" s="116"/>
      <c r="CS156" s="116"/>
      <c r="CT156" s="116"/>
      <c r="CU156" s="116"/>
      <c r="CV156" s="116"/>
      <c r="CW156" s="116"/>
      <c r="CX156" s="116"/>
      <c r="CY156" s="116"/>
      <c r="CZ156" s="116"/>
      <c r="DA156" s="116"/>
      <c r="DB156" s="116"/>
      <c r="DC156" s="116"/>
      <c r="DD156" s="116"/>
      <c r="DE156" s="116"/>
      <c r="DF156" s="116"/>
      <c r="DG156" s="116"/>
      <c r="DH156" s="116"/>
      <c r="DI156" s="116"/>
      <c r="DJ156" s="116"/>
      <c r="DK156" s="116"/>
      <c r="DL156" s="116"/>
      <c r="DM156" s="116"/>
      <c r="DN156" s="116"/>
      <c r="DO156" s="116"/>
      <c r="DP156" s="116"/>
      <c r="DQ156" s="116"/>
      <c r="DR156" s="116"/>
      <c r="DS156" s="116"/>
      <c r="DT156" s="116"/>
      <c r="DU156" s="116"/>
      <c r="DV156" s="116"/>
      <c r="DW156" s="116"/>
      <c r="DX156" s="116"/>
      <c r="DY156" s="116"/>
      <c r="DZ156" s="116"/>
      <c r="EA156" s="116"/>
      <c r="EB156" s="116"/>
      <c r="EC156" s="116"/>
      <c r="ED156" s="116"/>
      <c r="EE156" s="116"/>
      <c r="EF156" s="116"/>
      <c r="EG156" s="116"/>
      <c r="EH156" s="116"/>
      <c r="EI156" s="116"/>
      <c r="EJ156" s="116"/>
      <c r="EK156" s="116"/>
      <c r="EL156" s="116"/>
      <c r="EM156" s="116"/>
      <c r="EN156" s="116"/>
      <c r="EO156" s="116"/>
      <c r="EP156" s="116"/>
      <c r="EQ156" s="116"/>
      <c r="ER156" s="116"/>
      <c r="ES156" s="116"/>
      <c r="ET156" s="116"/>
      <c r="EU156" s="116"/>
      <c r="EV156" s="116"/>
      <c r="EW156" s="116"/>
      <c r="EX156" s="116"/>
      <c r="EY156" s="116"/>
      <c r="EZ156" s="116"/>
      <c r="FA156" s="116"/>
      <c r="FB156" s="116"/>
      <c r="FC156" s="116"/>
      <c r="FD156" s="116"/>
      <c r="FE156" s="116"/>
      <c r="FF156" s="116"/>
      <c r="FG156" s="116"/>
      <c r="FH156" s="116"/>
      <c r="FI156" s="116"/>
      <c r="FJ156" s="116"/>
      <c r="FK156" s="116"/>
      <c r="FL156" s="116"/>
      <c r="FM156" s="116"/>
      <c r="FN156" s="116"/>
      <c r="FO156" s="116"/>
      <c r="FP156" s="116"/>
      <c r="FQ156" s="116"/>
      <c r="FR156" s="116"/>
      <c r="FS156" s="116"/>
      <c r="FT156" s="116"/>
      <c r="FU156" s="116"/>
      <c r="FV156" s="116"/>
      <c r="FW156" s="116"/>
      <c r="FX156" s="116"/>
      <c r="FY156" s="116"/>
      <c r="FZ156" s="116"/>
      <c r="GA156" s="116"/>
      <c r="GB156" s="116"/>
      <c r="GC156" s="116"/>
      <c r="GD156" s="116"/>
      <c r="GE156" s="116"/>
      <c r="GF156" s="116"/>
      <c r="GG156" s="116"/>
      <c r="GH156" s="116"/>
      <c r="GI156" s="116"/>
      <c r="GJ156" s="116"/>
      <c r="GK156" s="116"/>
      <c r="GL156" s="116"/>
      <c r="GM156" s="116"/>
      <c r="GN156" s="116"/>
      <c r="GO156" s="116"/>
      <c r="GP156" s="116"/>
      <c r="GQ156" s="116"/>
      <c r="GR156" s="116"/>
      <c r="GS156" s="116"/>
      <c r="GT156" s="116"/>
      <c r="GU156" s="116"/>
      <c r="GV156" s="116"/>
      <c r="GW156" s="116"/>
      <c r="GX156" s="116"/>
      <c r="GY156" s="116"/>
      <c r="GZ156" s="116"/>
      <c r="HA156" s="116"/>
      <c r="HB156" s="116"/>
      <c r="HC156" s="116"/>
      <c r="HD156" s="116"/>
      <c r="HE156" s="116"/>
      <c r="HF156" s="116"/>
      <c r="HG156" s="116"/>
      <c r="HH156" s="116"/>
      <c r="HI156" s="116"/>
      <c r="HJ156" s="116"/>
      <c r="HK156" s="116"/>
      <c r="HL156" s="116"/>
      <c r="HM156" s="116"/>
      <c r="HN156" s="116"/>
      <c r="HO156" s="116"/>
      <c r="HP156" s="116"/>
      <c r="HQ156" s="116"/>
      <c r="HR156" s="116"/>
      <c r="HS156" s="116"/>
      <c r="HT156" s="116"/>
      <c r="HU156" s="116"/>
      <c r="HV156" s="116"/>
      <c r="HW156" s="116"/>
      <c r="HX156" s="116"/>
      <c r="HY156" s="116"/>
      <c r="HZ156" s="116"/>
      <c r="IA156" s="116"/>
      <c r="IB156" s="116"/>
      <c r="IC156" s="116"/>
      <c r="ID156" s="116"/>
      <c r="IE156" s="116"/>
      <c r="IF156" s="116"/>
      <c r="IG156" s="116"/>
      <c r="IH156" s="116"/>
      <c r="II156" s="116"/>
      <c r="IJ156" s="116"/>
      <c r="IK156" s="116"/>
      <c r="IL156" s="116"/>
      <c r="IM156" s="116"/>
      <c r="IN156" s="116"/>
      <c r="IO156" s="116"/>
      <c r="IP156" s="116"/>
      <c r="IQ156" s="116"/>
      <c r="IR156" s="116"/>
      <c r="IS156" s="116"/>
      <c r="IT156" s="116"/>
      <c r="IU156" s="116"/>
      <c r="IV156" s="116"/>
      <c r="IW156" s="116"/>
      <c r="IX156" s="116"/>
      <c r="IY156" s="116"/>
      <c r="IZ156" s="116"/>
    </row>
    <row r="157" spans="1:260" x14ac:dyDescent="0.3">
      <c r="B157" s="141" t="s">
        <v>218</v>
      </c>
      <c r="C157" s="236"/>
      <c r="D157" s="272">
        <f>+D156/(1+$C$82)^D135</f>
        <v>-14549553587.513903</v>
      </c>
      <c r="E157" s="272">
        <f t="shared" ref="E157:H157" si="39">+E156/(1+$C$82)^E135</f>
        <v>-6858507958.9175997</v>
      </c>
      <c r="F157" s="272">
        <f t="shared" si="39"/>
        <v>10407783938.898544</v>
      </c>
      <c r="G157" s="272">
        <f t="shared" si="39"/>
        <v>10203674012.002672</v>
      </c>
      <c r="H157" s="272">
        <f t="shared" si="39"/>
        <v>16705406734.420679</v>
      </c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  <c r="AT157" s="116"/>
      <c r="AU157" s="116"/>
      <c r="AV157" s="116"/>
      <c r="AW157" s="116"/>
      <c r="AX157" s="116"/>
      <c r="AY157" s="116"/>
      <c r="AZ157" s="116"/>
      <c r="BA157" s="116"/>
      <c r="BB157" s="116"/>
      <c r="BC157" s="116"/>
      <c r="BD157" s="116"/>
      <c r="BE157" s="116"/>
      <c r="BF157" s="116"/>
      <c r="BG157" s="116"/>
      <c r="BH157" s="116"/>
      <c r="BI157" s="116"/>
      <c r="BJ157" s="116"/>
      <c r="BK157" s="116"/>
      <c r="BL157" s="116"/>
      <c r="BM157" s="116"/>
      <c r="BN157" s="116"/>
      <c r="BO157" s="116"/>
      <c r="BP157" s="116"/>
      <c r="BQ157" s="116"/>
      <c r="BR157" s="116"/>
      <c r="BS157" s="116"/>
      <c r="BT157" s="116"/>
      <c r="BU157" s="116"/>
      <c r="BV157" s="116"/>
      <c r="BW157" s="116"/>
      <c r="BX157" s="116"/>
      <c r="BY157" s="116"/>
      <c r="BZ157" s="116"/>
      <c r="CA157" s="116"/>
      <c r="CB157" s="116"/>
      <c r="CC157" s="116"/>
      <c r="CD157" s="116"/>
      <c r="CE157" s="116"/>
      <c r="CF157" s="116"/>
      <c r="CG157" s="116"/>
      <c r="CH157" s="116"/>
      <c r="CI157" s="116"/>
      <c r="CJ157" s="116"/>
      <c r="CK157" s="116"/>
      <c r="CL157" s="116"/>
      <c r="CM157" s="116"/>
      <c r="CN157" s="116"/>
      <c r="CO157" s="116"/>
      <c r="CP157" s="116"/>
      <c r="CQ157" s="116"/>
      <c r="CR157" s="116"/>
      <c r="CS157" s="116"/>
      <c r="CT157" s="116"/>
      <c r="CU157" s="116"/>
      <c r="CV157" s="116"/>
      <c r="CW157" s="116"/>
      <c r="CX157" s="116"/>
      <c r="CY157" s="116"/>
      <c r="CZ157" s="116"/>
      <c r="DA157" s="116"/>
      <c r="DB157" s="116"/>
      <c r="DC157" s="116"/>
      <c r="DD157" s="116"/>
      <c r="DE157" s="116"/>
      <c r="DF157" s="116"/>
      <c r="DG157" s="116"/>
      <c r="DH157" s="116"/>
      <c r="DI157" s="116"/>
      <c r="DJ157" s="116"/>
      <c r="DK157" s="116"/>
      <c r="DL157" s="116"/>
      <c r="DM157" s="116"/>
      <c r="DN157" s="116"/>
      <c r="DO157" s="116"/>
      <c r="DP157" s="116"/>
      <c r="DQ157" s="116"/>
      <c r="DR157" s="116"/>
      <c r="DS157" s="116"/>
      <c r="DT157" s="116"/>
      <c r="DU157" s="116"/>
      <c r="DV157" s="116"/>
      <c r="DW157" s="116"/>
      <c r="DX157" s="116"/>
      <c r="DY157" s="116"/>
      <c r="DZ157" s="116"/>
      <c r="EA157" s="116"/>
      <c r="EB157" s="116"/>
      <c r="EC157" s="116"/>
      <c r="ED157" s="116"/>
      <c r="EE157" s="116"/>
      <c r="EF157" s="116"/>
      <c r="EG157" s="116"/>
      <c r="EH157" s="116"/>
      <c r="EI157" s="116"/>
      <c r="EJ157" s="116"/>
      <c r="EK157" s="116"/>
      <c r="EL157" s="116"/>
      <c r="EM157" s="116"/>
      <c r="EN157" s="116"/>
      <c r="EO157" s="116"/>
      <c r="EP157" s="116"/>
      <c r="EQ157" s="116"/>
      <c r="ER157" s="116"/>
      <c r="ES157" s="116"/>
      <c r="ET157" s="116"/>
      <c r="EU157" s="116"/>
      <c r="EV157" s="116"/>
      <c r="EW157" s="116"/>
      <c r="EX157" s="116"/>
      <c r="EY157" s="116"/>
      <c r="EZ157" s="116"/>
      <c r="FA157" s="116"/>
      <c r="FB157" s="116"/>
      <c r="FC157" s="116"/>
      <c r="FD157" s="116"/>
      <c r="FE157" s="116"/>
      <c r="FF157" s="116"/>
      <c r="FG157" s="116"/>
      <c r="FH157" s="116"/>
      <c r="FI157" s="116"/>
      <c r="FJ157" s="116"/>
      <c r="FK157" s="116"/>
      <c r="FL157" s="116"/>
      <c r="FM157" s="116"/>
      <c r="FN157" s="116"/>
      <c r="FO157" s="116"/>
      <c r="FP157" s="116"/>
      <c r="FQ157" s="116"/>
      <c r="FR157" s="116"/>
      <c r="FS157" s="116"/>
      <c r="FT157" s="116"/>
      <c r="FU157" s="116"/>
      <c r="FV157" s="116"/>
      <c r="FW157" s="116"/>
      <c r="FX157" s="116"/>
      <c r="FY157" s="116"/>
      <c r="FZ157" s="116"/>
      <c r="GA157" s="116"/>
      <c r="GB157" s="116"/>
      <c r="GC157" s="116"/>
      <c r="GD157" s="116"/>
      <c r="GE157" s="116"/>
      <c r="GF157" s="116"/>
      <c r="GG157" s="116"/>
      <c r="GH157" s="116"/>
      <c r="GI157" s="116"/>
      <c r="GJ157" s="116"/>
      <c r="GK157" s="116"/>
      <c r="GL157" s="116"/>
      <c r="GM157" s="116"/>
      <c r="GN157" s="116"/>
      <c r="GO157" s="116"/>
      <c r="GP157" s="116"/>
      <c r="GQ157" s="116"/>
      <c r="GR157" s="116"/>
      <c r="GS157" s="116"/>
      <c r="GT157" s="116"/>
      <c r="GU157" s="116"/>
      <c r="GV157" s="116"/>
      <c r="GW157" s="116"/>
      <c r="GX157" s="116"/>
      <c r="GY157" s="116"/>
      <c r="GZ157" s="116"/>
      <c r="HA157" s="116"/>
      <c r="HB157" s="116"/>
      <c r="HC157" s="116"/>
      <c r="HD157" s="116"/>
      <c r="HE157" s="116"/>
      <c r="HF157" s="116"/>
      <c r="HG157" s="116"/>
      <c r="HH157" s="116"/>
      <c r="HI157" s="116"/>
      <c r="HJ157" s="116"/>
      <c r="HK157" s="116"/>
      <c r="HL157" s="116"/>
      <c r="HM157" s="116"/>
      <c r="HN157" s="116"/>
      <c r="HO157" s="116"/>
      <c r="HP157" s="116"/>
      <c r="HQ157" s="116"/>
      <c r="HR157" s="116"/>
      <c r="HS157" s="116"/>
      <c r="HT157" s="116"/>
      <c r="HU157" s="116"/>
      <c r="HV157" s="116"/>
      <c r="HW157" s="116"/>
      <c r="HX157" s="116"/>
      <c r="HY157" s="116"/>
      <c r="HZ157" s="116"/>
      <c r="IA157" s="116"/>
      <c r="IB157" s="116"/>
      <c r="IC157" s="116"/>
      <c r="ID157" s="116"/>
      <c r="IE157" s="116"/>
      <c r="IF157" s="116"/>
      <c r="IG157" s="116"/>
      <c r="IH157" s="116"/>
      <c r="II157" s="116"/>
      <c r="IJ157" s="116"/>
      <c r="IK157" s="116"/>
      <c r="IL157" s="116"/>
      <c r="IM157" s="116"/>
      <c r="IN157" s="116"/>
      <c r="IO157" s="116"/>
      <c r="IP157" s="116"/>
      <c r="IQ157" s="116"/>
      <c r="IR157" s="116"/>
      <c r="IS157" s="116"/>
      <c r="IT157" s="116"/>
      <c r="IU157" s="116"/>
      <c r="IV157" s="116"/>
      <c r="IW157" s="116"/>
      <c r="IX157" s="116"/>
      <c r="IY157" s="116"/>
      <c r="IZ157" s="116"/>
    </row>
    <row r="158" spans="1:260" x14ac:dyDescent="0.3">
      <c r="B158" s="141" t="s">
        <v>216</v>
      </c>
      <c r="C158" s="236"/>
      <c r="D158" s="272">
        <f>+D157</f>
        <v>-14549553587.513903</v>
      </c>
      <c r="E158" s="272">
        <f>+D158+E157</f>
        <v>-21408061546.431503</v>
      </c>
      <c r="F158" s="272">
        <f>+E158+F157</f>
        <v>-11000277607.532959</v>
      </c>
      <c r="G158" s="272">
        <f>+F158+G157</f>
        <v>-796603595.53028679</v>
      </c>
      <c r="H158" s="272">
        <f>+G158+H157</f>
        <v>15908803138.890392</v>
      </c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  <c r="AS158" s="116"/>
      <c r="AT158" s="116"/>
      <c r="AU158" s="116"/>
      <c r="AV158" s="116"/>
      <c r="AW158" s="116"/>
      <c r="AX158" s="116"/>
      <c r="AY158" s="116"/>
      <c r="AZ158" s="116"/>
      <c r="BA158" s="116"/>
      <c r="BB158" s="116"/>
      <c r="BC158" s="116"/>
      <c r="BD158" s="116"/>
      <c r="BE158" s="116"/>
      <c r="BF158" s="116"/>
      <c r="BG158" s="116"/>
      <c r="BH158" s="116"/>
      <c r="BI158" s="116"/>
      <c r="BJ158" s="116"/>
      <c r="BK158" s="116"/>
      <c r="BL158" s="116"/>
      <c r="BM158" s="116"/>
      <c r="BN158" s="116"/>
      <c r="BO158" s="116"/>
      <c r="BP158" s="116"/>
      <c r="BQ158" s="116"/>
      <c r="BR158" s="116"/>
      <c r="BS158" s="116"/>
      <c r="BT158" s="116"/>
      <c r="BU158" s="116"/>
      <c r="BV158" s="116"/>
      <c r="BW158" s="116"/>
      <c r="BX158" s="116"/>
      <c r="BY158" s="116"/>
      <c r="BZ158" s="116"/>
      <c r="CA158" s="116"/>
      <c r="CB158" s="116"/>
      <c r="CC158" s="116"/>
      <c r="CD158" s="116"/>
      <c r="CE158" s="116"/>
      <c r="CF158" s="116"/>
      <c r="CG158" s="116"/>
      <c r="CH158" s="116"/>
      <c r="CI158" s="116"/>
      <c r="CJ158" s="116"/>
      <c r="CK158" s="116"/>
      <c r="CL158" s="116"/>
      <c r="CM158" s="116"/>
      <c r="CN158" s="116"/>
      <c r="CO158" s="116"/>
      <c r="CP158" s="116"/>
      <c r="CQ158" s="116"/>
      <c r="CR158" s="116"/>
      <c r="CS158" s="116"/>
      <c r="CT158" s="116"/>
      <c r="CU158" s="116"/>
      <c r="CV158" s="116"/>
      <c r="CW158" s="116"/>
      <c r="CX158" s="116"/>
      <c r="CY158" s="116"/>
      <c r="CZ158" s="116"/>
      <c r="DA158" s="116"/>
      <c r="DB158" s="116"/>
      <c r="DC158" s="116"/>
      <c r="DD158" s="116"/>
      <c r="DE158" s="116"/>
      <c r="DF158" s="116"/>
      <c r="DG158" s="116"/>
      <c r="DH158" s="116"/>
      <c r="DI158" s="116"/>
      <c r="DJ158" s="116"/>
      <c r="DK158" s="116"/>
      <c r="DL158" s="116"/>
      <c r="DM158" s="116"/>
      <c r="DN158" s="116"/>
      <c r="DO158" s="116"/>
      <c r="DP158" s="116"/>
      <c r="DQ158" s="116"/>
      <c r="DR158" s="116"/>
      <c r="DS158" s="116"/>
      <c r="DT158" s="116"/>
      <c r="DU158" s="116"/>
      <c r="DV158" s="116"/>
      <c r="DW158" s="116"/>
      <c r="DX158" s="116"/>
      <c r="DY158" s="116"/>
      <c r="DZ158" s="116"/>
      <c r="EA158" s="116"/>
      <c r="EB158" s="116"/>
      <c r="EC158" s="116"/>
      <c r="ED158" s="116"/>
      <c r="EE158" s="116"/>
      <c r="EF158" s="116"/>
      <c r="EG158" s="116"/>
      <c r="EH158" s="116"/>
      <c r="EI158" s="116"/>
      <c r="EJ158" s="116"/>
      <c r="EK158" s="116"/>
      <c r="EL158" s="116"/>
      <c r="EM158" s="116"/>
      <c r="EN158" s="116"/>
      <c r="EO158" s="116"/>
      <c r="EP158" s="116"/>
      <c r="EQ158" s="116"/>
      <c r="ER158" s="116"/>
      <c r="ES158" s="116"/>
      <c r="ET158" s="116"/>
      <c r="EU158" s="116"/>
      <c r="EV158" s="116"/>
      <c r="EW158" s="116"/>
      <c r="EX158" s="116"/>
      <c r="EY158" s="116"/>
      <c r="EZ158" s="116"/>
      <c r="FA158" s="116"/>
      <c r="FB158" s="116"/>
      <c r="FC158" s="116"/>
      <c r="FD158" s="116"/>
      <c r="FE158" s="116"/>
      <c r="FF158" s="116"/>
      <c r="FG158" s="116"/>
      <c r="FH158" s="116"/>
      <c r="FI158" s="116"/>
      <c r="FJ158" s="116"/>
      <c r="FK158" s="116"/>
      <c r="FL158" s="116"/>
      <c r="FM158" s="116"/>
      <c r="FN158" s="116"/>
      <c r="FO158" s="116"/>
      <c r="FP158" s="116"/>
      <c r="FQ158" s="116"/>
      <c r="FR158" s="116"/>
      <c r="FS158" s="116"/>
      <c r="FT158" s="116"/>
      <c r="FU158" s="116"/>
      <c r="FV158" s="116"/>
      <c r="FW158" s="116"/>
      <c r="FX158" s="116"/>
      <c r="FY158" s="116"/>
      <c r="FZ158" s="116"/>
      <c r="GA158" s="116"/>
      <c r="GB158" s="116"/>
      <c r="GC158" s="116"/>
      <c r="GD158" s="116"/>
      <c r="GE158" s="116"/>
      <c r="GF158" s="116"/>
      <c r="GG158" s="116"/>
      <c r="GH158" s="116"/>
      <c r="GI158" s="116"/>
      <c r="GJ158" s="116"/>
      <c r="GK158" s="116"/>
      <c r="GL158" s="116"/>
      <c r="GM158" s="116"/>
      <c r="GN158" s="116"/>
      <c r="GO158" s="116"/>
      <c r="GP158" s="116"/>
      <c r="GQ158" s="116"/>
      <c r="GR158" s="116"/>
      <c r="GS158" s="116"/>
      <c r="GT158" s="116"/>
      <c r="GU158" s="116"/>
      <c r="GV158" s="116"/>
      <c r="GW158" s="116"/>
      <c r="GX158" s="116"/>
      <c r="GY158" s="116"/>
      <c r="GZ158" s="116"/>
      <c r="HA158" s="116"/>
      <c r="HB158" s="116"/>
      <c r="HC158" s="116"/>
      <c r="HD158" s="116"/>
      <c r="HE158" s="116"/>
      <c r="HF158" s="116"/>
      <c r="HG158" s="116"/>
      <c r="HH158" s="116"/>
      <c r="HI158" s="116"/>
      <c r="HJ158" s="116"/>
      <c r="HK158" s="116"/>
      <c r="HL158" s="116"/>
      <c r="HM158" s="116"/>
      <c r="HN158" s="116"/>
      <c r="HO158" s="116"/>
      <c r="HP158" s="116"/>
      <c r="HQ158" s="116"/>
      <c r="HR158" s="116"/>
      <c r="HS158" s="116"/>
      <c r="HT158" s="116"/>
      <c r="HU158" s="116"/>
      <c r="HV158" s="116"/>
      <c r="HW158" s="116"/>
      <c r="HX158" s="116"/>
      <c r="HY158" s="116"/>
      <c r="HZ158" s="116"/>
      <c r="IA158" s="116"/>
      <c r="IB158" s="116"/>
      <c r="IC158" s="116"/>
      <c r="ID158" s="116"/>
      <c r="IE158" s="116"/>
      <c r="IF158" s="116"/>
      <c r="IG158" s="116"/>
      <c r="IH158" s="116"/>
      <c r="II158" s="116"/>
      <c r="IJ158" s="116"/>
      <c r="IK158" s="116"/>
      <c r="IL158" s="116"/>
      <c r="IM158" s="116"/>
      <c r="IN158" s="116"/>
      <c r="IO158" s="116"/>
      <c r="IP158" s="116"/>
      <c r="IQ158" s="116"/>
      <c r="IR158" s="116"/>
      <c r="IS158" s="116"/>
      <c r="IT158" s="116"/>
      <c r="IU158" s="116"/>
      <c r="IV158" s="116"/>
      <c r="IW158" s="116"/>
      <c r="IX158" s="116"/>
      <c r="IY158" s="116"/>
      <c r="IZ158" s="116"/>
    </row>
    <row r="159" spans="1:260" x14ac:dyDescent="0.3">
      <c r="B159" s="141" t="s">
        <v>211</v>
      </c>
      <c r="C159" s="282">
        <f>+IRR(C156:H156)</f>
        <v>0.41204965032134355</v>
      </c>
      <c r="D159" s="136"/>
      <c r="E159" s="136"/>
      <c r="F159" s="136"/>
      <c r="G159" s="13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  <c r="AT159" s="116"/>
      <c r="AU159" s="116"/>
      <c r="AV159" s="116"/>
      <c r="AW159" s="116"/>
      <c r="AX159" s="116"/>
      <c r="AY159" s="116"/>
      <c r="AZ159" s="116"/>
      <c r="BA159" s="116"/>
      <c r="BB159" s="116"/>
      <c r="BC159" s="116"/>
      <c r="BD159" s="116"/>
      <c r="BE159" s="116"/>
      <c r="BF159" s="116"/>
      <c r="BG159" s="116"/>
      <c r="BH159" s="116"/>
      <c r="BI159" s="116"/>
      <c r="BJ159" s="116"/>
      <c r="BK159" s="116"/>
      <c r="BL159" s="116"/>
      <c r="BM159" s="116"/>
      <c r="BN159" s="116"/>
      <c r="BO159" s="116"/>
      <c r="BP159" s="116"/>
      <c r="BQ159" s="116"/>
      <c r="BR159" s="116"/>
      <c r="BS159" s="116"/>
      <c r="BT159" s="116"/>
      <c r="BU159" s="116"/>
      <c r="BV159" s="116"/>
      <c r="BW159" s="116"/>
      <c r="BX159" s="116"/>
      <c r="BY159" s="116"/>
      <c r="BZ159" s="116"/>
      <c r="CA159" s="116"/>
      <c r="CB159" s="116"/>
      <c r="CC159" s="116"/>
      <c r="CD159" s="116"/>
      <c r="CE159" s="116"/>
      <c r="CF159" s="116"/>
      <c r="CG159" s="116"/>
      <c r="CH159" s="116"/>
      <c r="CI159" s="116"/>
      <c r="CJ159" s="116"/>
      <c r="CK159" s="116"/>
      <c r="CL159" s="116"/>
      <c r="CM159" s="116"/>
      <c r="CN159" s="116"/>
      <c r="CO159" s="116"/>
      <c r="CP159" s="116"/>
      <c r="CQ159" s="116"/>
      <c r="CR159" s="116"/>
      <c r="CS159" s="116"/>
      <c r="CT159" s="116"/>
      <c r="CU159" s="116"/>
      <c r="CV159" s="116"/>
      <c r="CW159" s="116"/>
      <c r="CX159" s="116"/>
      <c r="CY159" s="116"/>
      <c r="CZ159" s="116"/>
      <c r="DA159" s="116"/>
      <c r="DB159" s="116"/>
      <c r="DC159" s="116"/>
      <c r="DD159" s="116"/>
      <c r="DE159" s="116"/>
      <c r="DF159" s="116"/>
      <c r="DG159" s="116"/>
      <c r="DH159" s="116"/>
      <c r="DI159" s="116"/>
      <c r="DJ159" s="116"/>
      <c r="DK159" s="116"/>
      <c r="DL159" s="116"/>
      <c r="DM159" s="116"/>
      <c r="DN159" s="116"/>
      <c r="DO159" s="116"/>
      <c r="DP159" s="116"/>
      <c r="DQ159" s="116"/>
      <c r="DR159" s="116"/>
      <c r="DS159" s="116"/>
      <c r="DT159" s="116"/>
      <c r="DU159" s="116"/>
      <c r="DV159" s="116"/>
      <c r="DW159" s="116"/>
      <c r="DX159" s="116"/>
      <c r="DY159" s="116"/>
      <c r="DZ159" s="116"/>
      <c r="EA159" s="116"/>
      <c r="EB159" s="116"/>
      <c r="EC159" s="116"/>
      <c r="ED159" s="116"/>
      <c r="EE159" s="116"/>
      <c r="EF159" s="116"/>
      <c r="EG159" s="116"/>
      <c r="EH159" s="116"/>
      <c r="EI159" s="116"/>
      <c r="EJ159" s="116"/>
      <c r="EK159" s="116"/>
      <c r="EL159" s="116"/>
      <c r="EM159" s="116"/>
      <c r="EN159" s="116"/>
      <c r="EO159" s="116"/>
      <c r="EP159" s="116"/>
      <c r="EQ159" s="116"/>
      <c r="ER159" s="116"/>
      <c r="ES159" s="116"/>
      <c r="ET159" s="116"/>
      <c r="EU159" s="116"/>
      <c r="EV159" s="116"/>
      <c r="EW159" s="116"/>
      <c r="EX159" s="116"/>
      <c r="EY159" s="116"/>
      <c r="EZ159" s="116"/>
      <c r="FA159" s="116"/>
      <c r="FB159" s="116"/>
      <c r="FC159" s="116"/>
      <c r="FD159" s="116"/>
      <c r="FE159" s="116"/>
      <c r="FF159" s="116"/>
      <c r="FG159" s="116"/>
      <c r="FH159" s="116"/>
      <c r="FI159" s="116"/>
      <c r="FJ159" s="116"/>
      <c r="FK159" s="116"/>
      <c r="FL159" s="116"/>
      <c r="FM159" s="116"/>
      <c r="FN159" s="116"/>
      <c r="FO159" s="116"/>
      <c r="FP159" s="116"/>
      <c r="FQ159" s="116"/>
      <c r="FR159" s="116"/>
      <c r="FS159" s="116"/>
      <c r="FT159" s="116"/>
      <c r="FU159" s="116"/>
      <c r="FV159" s="116"/>
      <c r="FW159" s="116"/>
      <c r="FX159" s="116"/>
      <c r="FY159" s="116"/>
      <c r="FZ159" s="116"/>
      <c r="GA159" s="116"/>
      <c r="GB159" s="116"/>
      <c r="GC159" s="116"/>
      <c r="GD159" s="116"/>
      <c r="GE159" s="116"/>
      <c r="GF159" s="116"/>
      <c r="GG159" s="116"/>
      <c r="GH159" s="116"/>
      <c r="GI159" s="116"/>
      <c r="GJ159" s="116"/>
      <c r="GK159" s="116"/>
      <c r="GL159" s="116"/>
      <c r="GM159" s="116"/>
      <c r="GN159" s="116"/>
      <c r="GO159" s="116"/>
      <c r="GP159" s="116"/>
      <c r="GQ159" s="116"/>
      <c r="GR159" s="116"/>
      <c r="GS159" s="116"/>
      <c r="GT159" s="116"/>
      <c r="GU159" s="116"/>
      <c r="GV159" s="116"/>
      <c r="GW159" s="116"/>
      <c r="GX159" s="116"/>
      <c r="GY159" s="116"/>
      <c r="GZ159" s="116"/>
      <c r="HA159" s="116"/>
      <c r="HB159" s="116"/>
      <c r="HC159" s="116"/>
      <c r="HD159" s="116"/>
      <c r="HE159" s="116"/>
      <c r="HF159" s="116"/>
      <c r="HG159" s="116"/>
      <c r="HH159" s="116"/>
      <c r="HI159" s="116"/>
      <c r="HJ159" s="116"/>
      <c r="HK159" s="116"/>
      <c r="HL159" s="116"/>
      <c r="HM159" s="116"/>
      <c r="HN159" s="116"/>
      <c r="HO159" s="116"/>
      <c r="HP159" s="116"/>
      <c r="HQ159" s="116"/>
      <c r="HR159" s="116"/>
      <c r="HS159" s="116"/>
      <c r="HT159" s="116"/>
      <c r="HU159" s="116"/>
      <c r="HV159" s="116"/>
      <c r="HW159" s="116"/>
      <c r="HX159" s="116"/>
      <c r="HY159" s="116"/>
      <c r="HZ159" s="116"/>
      <c r="IA159" s="116"/>
      <c r="IB159" s="116"/>
      <c r="IC159" s="116"/>
      <c r="ID159" s="116"/>
      <c r="IE159" s="116"/>
      <c r="IF159" s="116"/>
      <c r="IG159" s="116"/>
      <c r="IH159" s="116"/>
      <c r="II159" s="116"/>
      <c r="IJ159" s="116"/>
      <c r="IK159" s="116"/>
      <c r="IL159" s="116"/>
      <c r="IM159" s="116"/>
      <c r="IN159" s="116"/>
      <c r="IO159" s="116"/>
      <c r="IP159" s="116"/>
      <c r="IQ159" s="116"/>
      <c r="IR159" s="116"/>
      <c r="IS159" s="116"/>
      <c r="IT159" s="116"/>
      <c r="IU159" s="116"/>
      <c r="IV159" s="116"/>
      <c r="IW159" s="116"/>
      <c r="IX159" s="116"/>
      <c r="IY159" s="116"/>
      <c r="IZ159" s="116"/>
    </row>
    <row r="160" spans="1:260" x14ac:dyDescent="0.3">
      <c r="B160" s="141" t="s">
        <v>194</v>
      </c>
      <c r="C160" s="247">
        <f>+NPV(C82,D156:H156)+C156</f>
        <v>15888098138.890396</v>
      </c>
      <c r="D160" s="210"/>
      <c r="E160" s="142"/>
      <c r="F160" s="136"/>
      <c r="G160" s="13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  <c r="AT160" s="116"/>
      <c r="AU160" s="116"/>
      <c r="AV160" s="116"/>
      <c r="AW160" s="116"/>
      <c r="AX160" s="116"/>
      <c r="AY160" s="116"/>
      <c r="AZ160" s="116"/>
      <c r="BA160" s="116"/>
      <c r="BB160" s="116"/>
      <c r="BC160" s="116"/>
      <c r="BD160" s="116"/>
      <c r="BE160" s="116"/>
      <c r="BF160" s="116"/>
      <c r="BG160" s="116"/>
      <c r="BH160" s="116"/>
      <c r="BI160" s="116"/>
      <c r="BJ160" s="116"/>
      <c r="BK160" s="116"/>
      <c r="BL160" s="116"/>
      <c r="BM160" s="116"/>
      <c r="BN160" s="116"/>
      <c r="BO160" s="116"/>
      <c r="BP160" s="116"/>
      <c r="BQ160" s="116"/>
      <c r="BR160" s="116"/>
      <c r="BS160" s="116"/>
      <c r="BT160" s="116"/>
      <c r="BU160" s="116"/>
      <c r="BV160" s="116"/>
      <c r="BW160" s="116"/>
      <c r="BX160" s="116"/>
      <c r="BY160" s="116"/>
      <c r="BZ160" s="116"/>
      <c r="CA160" s="116"/>
      <c r="CB160" s="116"/>
      <c r="CC160" s="116"/>
      <c r="CD160" s="116"/>
      <c r="CE160" s="116"/>
      <c r="CF160" s="116"/>
      <c r="CG160" s="116"/>
      <c r="CH160" s="116"/>
      <c r="CI160" s="116"/>
      <c r="CJ160" s="116"/>
      <c r="CK160" s="116"/>
      <c r="CL160" s="116"/>
      <c r="CM160" s="116"/>
      <c r="CN160" s="116"/>
      <c r="CO160" s="116"/>
      <c r="CP160" s="116"/>
      <c r="CQ160" s="116"/>
      <c r="CR160" s="116"/>
      <c r="CS160" s="116"/>
      <c r="CT160" s="116"/>
      <c r="CU160" s="116"/>
      <c r="CV160" s="116"/>
      <c r="CW160" s="116"/>
      <c r="CX160" s="116"/>
      <c r="CY160" s="116"/>
      <c r="CZ160" s="116"/>
      <c r="DA160" s="116"/>
      <c r="DB160" s="116"/>
      <c r="DC160" s="116"/>
      <c r="DD160" s="116"/>
      <c r="DE160" s="116"/>
      <c r="DF160" s="116"/>
      <c r="DG160" s="116"/>
      <c r="DH160" s="116"/>
      <c r="DI160" s="116"/>
      <c r="DJ160" s="116"/>
      <c r="DK160" s="116"/>
      <c r="DL160" s="116"/>
      <c r="DM160" s="116"/>
      <c r="DN160" s="116"/>
      <c r="DO160" s="116"/>
      <c r="DP160" s="116"/>
      <c r="DQ160" s="116"/>
      <c r="DR160" s="116"/>
      <c r="DS160" s="116"/>
      <c r="DT160" s="116"/>
      <c r="DU160" s="116"/>
      <c r="DV160" s="116"/>
      <c r="DW160" s="116"/>
      <c r="DX160" s="116"/>
      <c r="DY160" s="116"/>
      <c r="DZ160" s="116"/>
      <c r="EA160" s="116"/>
      <c r="EB160" s="116"/>
      <c r="EC160" s="116"/>
      <c r="ED160" s="116"/>
      <c r="EE160" s="116"/>
      <c r="EF160" s="116"/>
      <c r="EG160" s="116"/>
      <c r="EH160" s="116"/>
      <c r="EI160" s="116"/>
      <c r="EJ160" s="116"/>
      <c r="EK160" s="116"/>
      <c r="EL160" s="116"/>
      <c r="EM160" s="116"/>
      <c r="EN160" s="116"/>
      <c r="EO160" s="116"/>
      <c r="EP160" s="116"/>
      <c r="EQ160" s="116"/>
      <c r="ER160" s="116"/>
      <c r="ES160" s="116"/>
      <c r="ET160" s="116"/>
      <c r="EU160" s="116"/>
      <c r="EV160" s="116"/>
      <c r="EW160" s="116"/>
      <c r="EX160" s="116"/>
      <c r="EY160" s="116"/>
      <c r="EZ160" s="116"/>
      <c r="FA160" s="116"/>
      <c r="FB160" s="116"/>
      <c r="FC160" s="116"/>
      <c r="FD160" s="116"/>
      <c r="FE160" s="116"/>
      <c r="FF160" s="116"/>
      <c r="FG160" s="116"/>
      <c r="FH160" s="116"/>
      <c r="FI160" s="116"/>
      <c r="FJ160" s="116"/>
      <c r="FK160" s="116"/>
      <c r="FL160" s="116"/>
      <c r="FM160" s="116"/>
      <c r="FN160" s="116"/>
      <c r="FO160" s="116"/>
      <c r="FP160" s="116"/>
      <c r="FQ160" s="116"/>
      <c r="FR160" s="116"/>
      <c r="FS160" s="116"/>
      <c r="FT160" s="116"/>
      <c r="FU160" s="116"/>
      <c r="FV160" s="116"/>
      <c r="FW160" s="116"/>
      <c r="FX160" s="116"/>
      <c r="FY160" s="116"/>
      <c r="FZ160" s="116"/>
      <c r="GA160" s="116"/>
      <c r="GB160" s="116"/>
      <c r="GC160" s="116"/>
      <c r="GD160" s="116"/>
      <c r="GE160" s="116"/>
      <c r="GF160" s="116"/>
      <c r="GG160" s="116"/>
      <c r="GH160" s="116"/>
      <c r="GI160" s="116"/>
      <c r="GJ160" s="116"/>
      <c r="GK160" s="116"/>
      <c r="GL160" s="116"/>
      <c r="GM160" s="116"/>
      <c r="GN160" s="116"/>
      <c r="GO160" s="116"/>
      <c r="GP160" s="116"/>
      <c r="GQ160" s="116"/>
      <c r="GR160" s="116"/>
      <c r="GS160" s="116"/>
      <c r="GT160" s="116"/>
      <c r="GU160" s="116"/>
      <c r="GV160" s="116"/>
      <c r="GW160" s="116"/>
      <c r="GX160" s="116"/>
      <c r="GY160" s="116"/>
      <c r="GZ160" s="116"/>
      <c r="HA160" s="116"/>
      <c r="HB160" s="116"/>
      <c r="HC160" s="116"/>
      <c r="HD160" s="116"/>
      <c r="HE160" s="116"/>
      <c r="HF160" s="116"/>
      <c r="HG160" s="116"/>
      <c r="HH160" s="116"/>
      <c r="HI160" s="116"/>
      <c r="HJ160" s="116"/>
      <c r="HK160" s="116"/>
      <c r="HL160" s="116"/>
      <c r="HM160" s="116"/>
      <c r="HN160" s="116"/>
      <c r="HO160" s="116"/>
      <c r="HP160" s="116"/>
      <c r="HQ160" s="116"/>
      <c r="HR160" s="116"/>
      <c r="HS160" s="116"/>
      <c r="HT160" s="116"/>
      <c r="HU160" s="116"/>
      <c r="HV160" s="116"/>
      <c r="HW160" s="116"/>
      <c r="HX160" s="116"/>
      <c r="HY160" s="116"/>
      <c r="HZ160" s="116"/>
      <c r="IA160" s="116"/>
      <c r="IB160" s="116"/>
      <c r="IC160" s="116"/>
      <c r="ID160" s="116"/>
      <c r="IE160" s="116"/>
      <c r="IF160" s="116"/>
      <c r="IG160" s="116"/>
      <c r="IH160" s="116"/>
      <c r="II160" s="116"/>
      <c r="IJ160" s="116"/>
      <c r="IK160" s="116"/>
      <c r="IL160" s="116"/>
      <c r="IM160" s="116"/>
      <c r="IN160" s="116"/>
      <c r="IO160" s="116"/>
      <c r="IP160" s="116"/>
      <c r="IQ160" s="116"/>
      <c r="IR160" s="116"/>
      <c r="IS160" s="116"/>
      <c r="IT160" s="116"/>
      <c r="IU160" s="116"/>
      <c r="IV160" s="116"/>
      <c r="IW160" s="116"/>
      <c r="IX160" s="116"/>
      <c r="IY160" s="116"/>
      <c r="IZ160" s="116"/>
    </row>
    <row r="161" spans="2:260" x14ac:dyDescent="0.3">
      <c r="B161" s="141" t="s">
        <v>171</v>
      </c>
      <c r="C161" s="255" t="s">
        <v>262</v>
      </c>
      <c r="D161" s="116"/>
      <c r="E161" s="116"/>
      <c r="F161" s="116"/>
      <c r="G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  <c r="AX161" s="116"/>
      <c r="AY161" s="116"/>
      <c r="AZ161" s="116"/>
      <c r="BA161" s="116"/>
      <c r="BB161" s="116"/>
      <c r="BC161" s="116"/>
      <c r="BD161" s="116"/>
      <c r="BE161" s="116"/>
      <c r="BF161" s="116"/>
      <c r="BG161" s="116"/>
      <c r="BH161" s="116"/>
      <c r="BI161" s="116"/>
      <c r="BJ161" s="116"/>
      <c r="BK161" s="116"/>
      <c r="BL161" s="116"/>
      <c r="BM161" s="116"/>
      <c r="BN161" s="116"/>
      <c r="BO161" s="116"/>
      <c r="BP161" s="116"/>
      <c r="BQ161" s="116"/>
      <c r="BR161" s="116"/>
      <c r="BS161" s="116"/>
      <c r="BT161" s="116"/>
      <c r="BU161" s="116"/>
      <c r="BV161" s="116"/>
      <c r="BW161" s="116"/>
      <c r="BX161" s="116"/>
      <c r="BY161" s="116"/>
      <c r="BZ161" s="116"/>
      <c r="CA161" s="116"/>
      <c r="CB161" s="116"/>
      <c r="CC161" s="116"/>
      <c r="CD161" s="116"/>
      <c r="CE161" s="116"/>
      <c r="CF161" s="116"/>
      <c r="CG161" s="116"/>
      <c r="CH161" s="116"/>
      <c r="CI161" s="116"/>
      <c r="CJ161" s="116"/>
      <c r="CK161" s="116"/>
      <c r="CL161" s="116"/>
      <c r="CM161" s="116"/>
      <c r="CN161" s="116"/>
      <c r="CO161" s="116"/>
      <c r="CP161" s="116"/>
      <c r="CQ161" s="116"/>
      <c r="CR161" s="116"/>
      <c r="CS161" s="116"/>
      <c r="CT161" s="116"/>
      <c r="CU161" s="116"/>
      <c r="CV161" s="116"/>
      <c r="CW161" s="116"/>
      <c r="CX161" s="116"/>
      <c r="CY161" s="116"/>
      <c r="CZ161" s="116"/>
      <c r="DA161" s="116"/>
      <c r="DB161" s="116"/>
      <c r="DC161" s="116"/>
      <c r="DD161" s="116"/>
      <c r="DE161" s="116"/>
      <c r="DF161" s="116"/>
      <c r="DG161" s="116"/>
      <c r="DH161" s="116"/>
      <c r="DI161" s="116"/>
      <c r="DJ161" s="116"/>
      <c r="DK161" s="116"/>
      <c r="DL161" s="116"/>
      <c r="DM161" s="116"/>
      <c r="DN161" s="116"/>
      <c r="DO161" s="116"/>
      <c r="DP161" s="116"/>
      <c r="DQ161" s="116"/>
      <c r="DR161" s="116"/>
      <c r="DS161" s="116"/>
      <c r="DT161" s="116"/>
      <c r="DU161" s="116"/>
      <c r="DV161" s="116"/>
      <c r="DW161" s="116"/>
      <c r="DX161" s="116"/>
      <c r="DY161" s="116"/>
      <c r="DZ161" s="116"/>
      <c r="EA161" s="116"/>
      <c r="EB161" s="116"/>
      <c r="EC161" s="116"/>
      <c r="ED161" s="116"/>
      <c r="EE161" s="116"/>
      <c r="EF161" s="116"/>
      <c r="EG161" s="116"/>
      <c r="EH161" s="116"/>
      <c r="EI161" s="116"/>
      <c r="EJ161" s="116"/>
      <c r="EK161" s="116"/>
      <c r="EL161" s="116"/>
      <c r="EM161" s="116"/>
      <c r="EN161" s="116"/>
      <c r="EO161" s="116"/>
      <c r="EP161" s="116"/>
      <c r="EQ161" s="116"/>
      <c r="ER161" s="116"/>
      <c r="ES161" s="116"/>
      <c r="ET161" s="116"/>
      <c r="EU161" s="116"/>
      <c r="EV161" s="116"/>
      <c r="EW161" s="116"/>
      <c r="EX161" s="116"/>
      <c r="EY161" s="116"/>
      <c r="EZ161" s="116"/>
      <c r="FA161" s="116"/>
      <c r="FB161" s="116"/>
      <c r="FC161" s="116"/>
      <c r="FD161" s="116"/>
      <c r="FE161" s="116"/>
      <c r="FF161" s="116"/>
      <c r="FG161" s="116"/>
      <c r="FH161" s="116"/>
      <c r="FI161" s="116"/>
      <c r="FJ161" s="116"/>
      <c r="FK161" s="116"/>
      <c r="FL161" s="116"/>
      <c r="FM161" s="116"/>
      <c r="FN161" s="116"/>
      <c r="FO161" s="116"/>
      <c r="FP161" s="116"/>
      <c r="FQ161" s="116"/>
      <c r="FR161" s="116"/>
      <c r="FS161" s="116"/>
      <c r="FT161" s="116"/>
      <c r="FU161" s="116"/>
      <c r="FV161" s="116"/>
      <c r="FW161" s="116"/>
      <c r="FX161" s="116"/>
      <c r="FY161" s="116"/>
      <c r="FZ161" s="116"/>
      <c r="GA161" s="116"/>
      <c r="GB161" s="116"/>
      <c r="GC161" s="116"/>
      <c r="GD161" s="116"/>
      <c r="GE161" s="116"/>
      <c r="GF161" s="116"/>
      <c r="GG161" s="116"/>
      <c r="GH161" s="116"/>
      <c r="GI161" s="116"/>
      <c r="GJ161" s="116"/>
      <c r="GK161" s="116"/>
      <c r="GL161" s="116"/>
      <c r="GM161" s="116"/>
      <c r="GN161" s="116"/>
      <c r="GO161" s="116"/>
      <c r="GP161" s="116"/>
      <c r="GQ161" s="116"/>
      <c r="GR161" s="116"/>
      <c r="GS161" s="116"/>
      <c r="GT161" s="116"/>
      <c r="GU161" s="116"/>
      <c r="GV161" s="116"/>
      <c r="GW161" s="116"/>
      <c r="GX161" s="116"/>
      <c r="GY161" s="116"/>
      <c r="GZ161" s="116"/>
      <c r="HA161" s="116"/>
      <c r="HB161" s="116"/>
      <c r="HC161" s="116"/>
      <c r="HD161" s="116"/>
      <c r="HE161" s="116"/>
      <c r="HF161" s="116"/>
      <c r="HG161" s="116"/>
      <c r="HH161" s="116"/>
      <c r="HI161" s="116"/>
      <c r="HJ161" s="116"/>
      <c r="HK161" s="116"/>
      <c r="HL161" s="116"/>
      <c r="HM161" s="116"/>
      <c r="HN161" s="116"/>
      <c r="HO161" s="116"/>
      <c r="HP161" s="116"/>
      <c r="HQ161" s="116"/>
      <c r="HR161" s="116"/>
      <c r="HS161" s="116"/>
      <c r="HT161" s="116"/>
      <c r="HU161" s="116"/>
      <c r="HV161" s="116"/>
      <c r="HW161" s="116"/>
      <c r="HX161" s="116"/>
      <c r="HY161" s="116"/>
      <c r="HZ161" s="116"/>
      <c r="IA161" s="116"/>
      <c r="IB161" s="116"/>
      <c r="IC161" s="116"/>
      <c r="ID161" s="116"/>
      <c r="IE161" s="116"/>
      <c r="IF161" s="116"/>
      <c r="IG161" s="116"/>
      <c r="IH161" s="116"/>
      <c r="II161" s="116"/>
      <c r="IJ161" s="116"/>
      <c r="IK161" s="116"/>
      <c r="IL161" s="116"/>
      <c r="IM161" s="116"/>
      <c r="IN161" s="116"/>
      <c r="IO161" s="116"/>
      <c r="IP161" s="116"/>
      <c r="IQ161" s="116"/>
      <c r="IR161" s="116"/>
      <c r="IS161" s="116"/>
      <c r="IT161" s="116"/>
      <c r="IU161" s="116"/>
      <c r="IV161" s="116"/>
      <c r="IW161" s="116"/>
      <c r="IX161" s="116"/>
      <c r="IY161" s="116"/>
      <c r="IZ161" s="116"/>
    </row>
  </sheetData>
  <scenarios current="0" sqref="C159:C160">
    <scenario name="+15%" locked="1" count="1" user="Juan Manuel Arredondo Londoño" comment="Creado por Juan Manuel Arredondo Londoño el 28/11/2025">
      <inputCells r="D19" val="0,95" numFmtId="9"/>
    </scenario>
    <scenario name="+10%" locked="1" count="1" user="Juan Manuel Arredondo Londoño" comment="Creado por Juan Manuel Arredondo Londoño el 28/11/2025">
      <inputCells r="D19" val="0,9" numFmtId="9"/>
    </scenario>
    <scenario name="% Inicial" locked="1" count="1" user="Juan Manuel Arredondo Londoño" comment="Creado por Juan Manuel Arredondo Londoño el 28/11/2025">
      <inputCells r="D19" val="0,8" numFmtId="9"/>
    </scenario>
    <scenario name="% Critico" locked="1" count="1" user="Juan Manuel Arredondo Londoño" comment="Creado por Juan Manuel Arredondo Londoño el 28/11/2025">
      <inputCells r="D19" val="0,734730050984658" numFmtId="9"/>
    </scenario>
    <scenario name="-10%" locked="1" count="1" user="Juan Manuel Arredondo Londoño" comment="Creado por Juan Manuel Arredondo Londoño el 28/11/2025">
      <inputCells r="D19" val="0,7" numFmtId="9"/>
    </scenario>
    <scenario name="-15%" locked="1" count="1" user="Juan Manuel Arredondo Londoño" comment="Creado por Juan Manuel Arredondo Londoño el 28/11/2025">
      <inputCells r="D19" val="0,65" numFmtId="9"/>
    </scenario>
  </scenarios>
  <mergeCells count="32">
    <mergeCell ref="B133:G133"/>
    <mergeCell ref="B134:G134"/>
    <mergeCell ref="B94:G94"/>
    <mergeCell ref="B95:G95"/>
    <mergeCell ref="B96:G96"/>
    <mergeCell ref="B122:F122"/>
    <mergeCell ref="B123:F123"/>
    <mergeCell ref="B132:G132"/>
    <mergeCell ref="B84:D84"/>
    <mergeCell ref="F84:G84"/>
    <mergeCell ref="B85:D85"/>
    <mergeCell ref="F85:G85"/>
    <mergeCell ref="B86:D86"/>
    <mergeCell ref="F86:G86"/>
    <mergeCell ref="B78:C78"/>
    <mergeCell ref="B33:H33"/>
    <mergeCell ref="B46:C46"/>
    <mergeCell ref="B47:C47"/>
    <mergeCell ref="B51:H51"/>
    <mergeCell ref="B52:H52"/>
    <mergeCell ref="B60:H60"/>
    <mergeCell ref="B66:C66"/>
    <mergeCell ref="B67:C67"/>
    <mergeCell ref="B73:C73"/>
    <mergeCell ref="B74:C74"/>
    <mergeCell ref="B77:C77"/>
    <mergeCell ref="B25:H25"/>
    <mergeCell ref="B2:C2"/>
    <mergeCell ref="B6:C6"/>
    <mergeCell ref="B14:H14"/>
    <mergeCell ref="B15:H15"/>
    <mergeCell ref="B24:H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LOCALIZACIÓN</vt:lpstr>
      <vt:lpstr>PROYECCIONES Y ESTIMACIONES</vt:lpstr>
      <vt:lpstr>CALCULO COSTOS E INVERSIONES</vt:lpstr>
      <vt:lpstr>GASTOS ADMINISTRATIVOS</vt:lpstr>
      <vt:lpstr>ESTUDIO FINANCIERO</vt:lpstr>
      <vt:lpstr>ANÁLISIS-SENSIBILIDAD</vt:lpstr>
      <vt:lpstr>ESTUDIO FINANCIERO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Ruiz</dc:creator>
  <cp:lastModifiedBy>JUAN MANUEL ARREDONDO LONDONO</cp:lastModifiedBy>
  <dcterms:created xsi:type="dcterms:W3CDTF">2025-10-30T02:49:31Z</dcterms:created>
  <dcterms:modified xsi:type="dcterms:W3CDTF">2025-11-28T19:56:50Z</dcterms:modified>
</cp:coreProperties>
</file>